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ources\vector\docs\"/>
    </mc:Choice>
  </mc:AlternateContent>
  <xr:revisionPtr revIDLastSave="0" documentId="8_{12535646-1471-4F48-B4B0-64C5F1D989FC}" xr6:coauthVersionLast="47" xr6:coauthVersionMax="47" xr10:uidLastSave="{00000000-0000-0000-0000-000000000000}"/>
  <bookViews>
    <workbookView xWindow="-110" yWindow="-110" windowWidth="19420" windowHeight="10300" tabRatio="864" activeTab="2" xr2:uid="{9805D829-C69A-4171-870E-6A43954CC189}"/>
  </bookViews>
  <sheets>
    <sheet name="RESUMEN_1" sheetId="10" r:id="rId1"/>
    <sheet name="RESUMEN_2" sheetId="8" r:id="rId2"/>
    <sheet name="ACTIVIDADES" sheetId="1" r:id="rId3"/>
    <sheet name="BD_TABLES" sheetId="4" r:id="rId4"/>
    <sheet name="AUTH_COGNITO" sheetId="3" r:id="rId5"/>
    <sheet name="PANTALLA DASHBOARD INI" sheetId="5" r:id="rId6"/>
    <sheet name="BITACORA_TABLE" sheetId="6" r:id="rId7"/>
    <sheet name="RECURSOS" sheetId="2" r:id="rId8"/>
    <sheet name="JIRA" sheetId="11" r:id="rId9"/>
  </sheets>
  <definedNames>
    <definedName name="_xlnm._FilterDatabase" localSheetId="2" hidden="1">ACTIVIDADES!$A$1:$O$153</definedName>
  </definedNames>
  <calcPr calcId="191029"/>
  <pivotCaches>
    <pivotCache cacheId="0" r:id="rId10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0" l="1"/>
  <c r="D20" i="10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2" i="11"/>
  <c r="L22" i="1"/>
  <c r="M22" i="1" s="1"/>
  <c r="L21" i="1"/>
  <c r="M21" i="1" s="1"/>
  <c r="L108" i="1"/>
  <c r="M108" i="1" s="1"/>
  <c r="L82" i="1"/>
  <c r="M82" i="1" s="1"/>
  <c r="L79" i="1"/>
  <c r="M79" i="1" s="1"/>
  <c r="L77" i="1"/>
  <c r="M77" i="1" s="1"/>
  <c r="L35" i="1"/>
  <c r="M35" i="1" s="1"/>
  <c r="L32" i="1"/>
  <c r="M32" i="1" s="1"/>
  <c r="L20" i="1"/>
  <c r="M20" i="1" s="1"/>
  <c r="L18" i="1"/>
  <c r="M18" i="1" s="1"/>
  <c r="L23" i="1"/>
  <c r="M23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9" i="1"/>
  <c r="M19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3" i="1"/>
  <c r="M33" i="1" s="1"/>
  <c r="L34" i="1"/>
  <c r="M34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8" i="1"/>
  <c r="M78" i="1" s="1"/>
  <c r="L80" i="1"/>
  <c r="M80" i="1" s="1"/>
  <c r="L81" i="1"/>
  <c r="M81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1" i="1"/>
  <c r="M151" i="1" s="1"/>
  <c r="L152" i="1"/>
  <c r="M152" i="1" s="1"/>
  <c r="L153" i="1"/>
  <c r="M153" i="1" s="1"/>
  <c r="L2" i="1"/>
  <c r="M2" i="1" s="1"/>
  <c r="A40" i="3"/>
  <c r="A41" i="3" s="1"/>
  <c r="A43" i="3" s="1"/>
  <c r="A46" i="3" s="1"/>
  <c r="A50" i="3" s="1"/>
</calcChain>
</file>

<file path=xl/sharedStrings.xml><?xml version="1.0" encoding="utf-8"?>
<sst xmlns="http://schemas.openxmlformats.org/spreadsheetml/2006/main" count="1649" uniqueCount="504">
  <si>
    <t>AWS</t>
  </si>
  <si>
    <t>MOVIL</t>
  </si>
  <si>
    <t>BACKEND1</t>
  </si>
  <si>
    <t>BACKEND2</t>
  </si>
  <si>
    <t>FRONTEND1</t>
  </si>
  <si>
    <t>.NET</t>
  </si>
  <si>
    <t>REACT/REACT-NATIVE</t>
  </si>
  <si>
    <t>API GATEWAY/LMABDA/COGNITO/RDS/DYNAMO</t>
  </si>
  <si>
    <t>RECURSO</t>
  </si>
  <si>
    <t>TIPO</t>
  </si>
  <si>
    <t>¿?</t>
  </si>
  <si>
    <t>DETALLE</t>
  </si>
  <si>
    <t>ASIG</t>
  </si>
  <si>
    <t>PROV</t>
  </si>
  <si>
    <t>IIS, SQLSERVER</t>
  </si>
  <si>
    <t>WEBDEVELOP</t>
  </si>
  <si>
    <t>AXEN/NUEVO INTERNO</t>
  </si>
  <si>
    <t>DESCRIPCION</t>
  </si>
  <si>
    <t>PLATAFORMA</t>
  </si>
  <si>
    <t>SERVICIO</t>
  </si>
  <si>
    <t>REQ</t>
  </si>
  <si>
    <t>PRESTAMOS</t>
  </si>
  <si>
    <t>MODULO</t>
  </si>
  <si>
    <t>METODO</t>
  </si>
  <si>
    <t xml:space="preserve">GET </t>
  </si>
  <si>
    <t>POST</t>
  </si>
  <si>
    <t>DELETE</t>
  </si>
  <si>
    <t>RETIROS</t>
  </si>
  <si>
    <t>Servicio para cancelar un prestamo</t>
  </si>
  <si>
    <t>HEADERS JWT</t>
  </si>
  <si>
    <t>macastro@vector.com.mx</t>
  </si>
  <si>
    <t>cental1.PARTIPANTE</t>
  </si>
  <si>
    <t>IDPARTICIPANTE</t>
  </si>
  <si>
    <t>IDEMPRESA</t>
  </si>
  <si>
    <t>ABC6451231364</t>
  </si>
  <si>
    <t>EMAIL</t>
  </si>
  <si>
    <t>Registro Cognito</t>
  </si>
  <si>
    <t>Si el correo a registrar no existe, presentar mensaje "El correo que intenta ingresa no se ecuentra registrado, contacta a tu administrador"</t>
  </si>
  <si>
    <t>ESTATUS</t>
  </si>
  <si>
    <t>41C6451231364</t>
  </si>
  <si>
    <t>DSADAS4D5A13</t>
  </si>
  <si>
    <t>1ER REGISTRO</t>
  </si>
  <si>
    <t>Validar que el correo y idtokenunico que esta queriendo registrar exista en la BD participantes_auth</t>
  </si>
  <si>
    <t>Login</t>
  </si>
  <si>
    <t>Consumimos servicio AWS ejemplo Resumen Movimientos, se envia en HEADERS el JWT</t>
  </si>
  <si>
    <t>Una vez autorizado por COGNITO, se consume servicio de .NET</t>
  </si>
  <si>
    <t>Consulta de Resumen de movimientos</t>
  </si>
  <si>
    <t>Consume servicio de .NET para obtener relacion de empresas-partiipante, a partir del EMAIL-COGNITOSEC</t>
  </si>
  <si>
    <t>Se establece variable global en la app con el IDEMPRESA seleccionada</t>
  </si>
  <si>
    <t>3e01db55-3f84-420f-aca5-031f07579b5b</t>
  </si>
  <si>
    <t>CODIGO ACTIVACION</t>
  </si>
  <si>
    <t>Captura: email, codigoactivacion, password, confirmacion password</t>
  </si>
  <si>
    <t>Se entrega al front relacion de las empresas relacionadas en BD PARTICIPANTE</t>
  </si>
  <si>
    <t>Se seleciona la 3051</t>
  </si>
  <si>
    <t>Resumen de contratos</t>
  </si>
  <si>
    <t>Consumimos servicio AWS Resumen de contratos, se envia en HEADERS el JWT</t>
  </si>
  <si>
    <t>Cerrar sesion</t>
  </si>
  <si>
    <t>Consumir servicio de cognito para cerrar sesion</t>
  </si>
  <si>
    <t>IDTOKENPARTICIPANTE</t>
  </si>
  <si>
    <t>En la creacion o cambio de correo electronico, se envia correo de activacion al participante al correo que se registro</t>
  </si>
  <si>
    <t>ADMIN: Activacion Aplicación Individual 1x1</t>
  </si>
  <si>
    <t>INACTIVO</t>
  </si>
  <si>
    <t>REGISTRO</t>
  </si>
  <si>
    <t>ACTIVO</t>
  </si>
  <si>
    <t>BLOQUEO</t>
  </si>
  <si>
    <t>Servicio para consultar participantes de una empresa, con los datos: idempresa, idpartipante, nombre, correo(blanco), ESTATUS(0)</t>
  </si>
  <si>
    <t>Selecciona un participante, le captura un email y selecciona CONTINUAR</t>
  </si>
  <si>
    <t>ADMIN: Activacion Aplicación Masivo</t>
  </si>
  <si>
    <t>Se consume servicio para Activar pariticipante</t>
  </si>
  <si>
    <t>El administrador tiene un XLS, con la relacion IDEMPRESA, IDPARTICIPANTE,email</t>
  </si>
  <si>
    <t>El administrador importa el XLS y selecciona CONTINUAR</t>
  </si>
  <si>
    <t>Pantalla de verificacion/conffirmacion, CONTINUAR</t>
  </si>
  <si>
    <t>Se consume servicio para Activar pariticipantES</t>
  </si>
  <si>
    <t>CENTRAL1</t>
  </si>
  <si>
    <t>CENTRAL2</t>
  </si>
  <si>
    <t>LEAR</t>
  </si>
  <si>
    <t>ORIGEN</t>
  </si>
  <si>
    <t>SORIANA</t>
  </si>
  <si>
    <t>{email, cognito-sec, empresas: [1-3050,1-3051,3-3551]}</t>
  </si>
  <si>
    <t>[{idorigen:1, idempresa:3051}, {idorigen:2, idempresa:3053}]</t>
  </si>
  <si>
    <t>ORIGIENES  (TABLA PUEDE ESTAR EN LA NUBE)</t>
  </si>
  <si>
    <t>ESTATUS REGISTRO  (TABLA PUEDE ESTAR EN LA NUBE)</t>
  </si>
  <si>
    <t>COGNITO_SUB</t>
  </si>
  <si>
    <t>Se registra el correo en COGNITO, con sus credenciales ingresadas, se obtiene COGNITO-SUB y se registra en participantes_Auth</t>
  </si>
  <si>
    <t>COGNITO valida credenciales y nos entrega en JWT: Email, CONGNITO-SUB</t>
  </si>
  <si>
    <t>Se valida en AWS JWT vs COGNITO (LAMBDA)</t>
  </si>
  <si>
    <t>{autorization: barer | sesion:{2,3051,123456}}</t>
  </si>
  <si>
    <t>/api/v1/movements?</t>
  </si>
  <si>
    <t>LOGIN</t>
  </si>
  <si>
    <t>CERRAR SESION</t>
  </si>
  <si>
    <t>REGISTRO CAPTURA</t>
  </si>
  <si>
    <t>REGISTRO CONFIRMACION</t>
  </si>
  <si>
    <t>Servicio para registro de participante: correo, codigoactivacion</t>
  </si>
  <si>
    <t>Servicio para registro de participante: codigo de confirmacion, pw, cpw</t>
  </si>
  <si>
    <t>Servicio para cerrar sesion, lambda que se comunica con cognito</t>
  </si>
  <si>
    <t>Servicio para recuperacion: email</t>
  </si>
  <si>
    <t>RECUPERACION: CAPTURA</t>
  </si>
  <si>
    <t>RECUPERACION: CONFIRMACION</t>
  </si>
  <si>
    <t>Servicio para reuperacion: codigo de confirmacion, pw, cpw</t>
  </si>
  <si>
    <t>GET</t>
  </si>
  <si>
    <t>LAMBDA/.NET</t>
  </si>
  <si>
    <t>LAMBDA/COGNITO</t>
  </si>
  <si>
    <t>Servicio para obtener resumen de los contratos asociados al participante</t>
  </si>
  <si>
    <t>SALDOS</t>
  </si>
  <si>
    <t>Servicio para obtener saldo del participante y meta de ahorro</t>
  </si>
  <si>
    <t>META AHORRO</t>
  </si>
  <si>
    <t>Servicio para registrar meta de ahorro del participante</t>
  </si>
  <si>
    <t>LAMBDA/DYNAMODB</t>
  </si>
  <si>
    <t>** Revisar proceso batch para generar JSON y subir a AWS</t>
  </si>
  <si>
    <t>** Revisar metodo de autenticacion de ADMINISTRADOR en Dashboard</t>
  </si>
  <si>
    <t>RESUMEN MOVS</t>
  </si>
  <si>
    <t>Servicio para obtener resumen de movimientos</t>
  </si>
  <si>
    <t>Servicio para obtener DETALLE de movimientos</t>
  </si>
  <si>
    <t>DETALLE MOVS</t>
  </si>
  <si>
    <t>RESUMEN PRESTAMOS</t>
  </si>
  <si>
    <t>DETALLE PRESTAMOS</t>
  </si>
  <si>
    <t>Servicio para obtener RESUMEN de prestamos</t>
  </si>
  <si>
    <t>Servicio para obtener DETALLE de prestamos</t>
  </si>
  <si>
    <t>HISTORICO MOVS</t>
  </si>
  <si>
    <t>DESCARGAR DE HISTORICO</t>
  </si>
  <si>
    <t>Servicio para obtener generar y descargar pdf de resumen de movs</t>
  </si>
  <si>
    <t>Servicio para obtener meses disponibles de resumen de movs</t>
  </si>
  <si>
    <t>**Definir detalle de perfil de usuario: (Servicios)</t>
  </si>
  <si>
    <t>BAJA</t>
  </si>
  <si>
    <t>BRANDING</t>
  </si>
  <si>
    <t>LOGO</t>
  </si>
  <si>
    <t>&lt;xml&gt;&lt;/xml&gt;</t>
  </si>
  <si>
    <t>**Definir bandera global por empresa de PROCESO VALUACION</t>
  </si>
  <si>
    <t>**Definir bandera global MANTENIMIENTO, con acceso alternatva de acceso autorizado</t>
  </si>
  <si>
    <t>{</t>
  </si>
  <si>
    <t>}</t>
  </si>
  <si>
    <t>data: {}</t>
  </si>
  <si>
    <t>warning: "No encontramos en proceso de actualizacion de saldo…."</t>
  </si>
  <si>
    <t>**Enviar un objeto POST serializado para que no viaje por URL</t>
  </si>
  <si>
    <t>**Manifiesto reactivo en .NET, revisar que el sistema no sea "bloqueante"</t>
  </si>
  <si>
    <t>**Para evitar el bloqueo proceso para monitorear las colas y las vacie</t>
  </si>
  <si>
    <t>REVISAR PENDIENTES</t>
  </si>
  <si>
    <t>Servicio para solicitar el prestamos,  se valida que no exista un prestamo activo</t>
  </si>
  <si>
    <t>Servicio para obtener datos de la captura de pantalla, parametros; mostrar si hay un prestamo por autorizar y el monto</t>
  </si>
  <si>
    <t>Servicio para solicitar el retiro del participante</t>
  </si>
  <si>
    <t>Servico para cancelar un retiro, solo permitir modificar en estatus "en revision"</t>
  </si>
  <si>
    <t>CAMBIO PW</t>
  </si>
  <si>
    <t>Servicio para actualizar contraseña</t>
  </si>
  <si>
    <t>Servicio para login, lambda que se comunica con cognito, obtiene perfil del usuario, y perfil de la empresa</t>
  </si>
  <si>
    <t>NOMBRE</t>
  </si>
  <si>
    <t>PERFIL</t>
  </si>
  <si>
    <t>31JJLAKLDMAPDAS</t>
  </si>
  <si>
    <t>pramirez@vector.com.mx</t>
  </si>
  <si>
    <t>31312312-3f84-420f-aca5-031f07579b5b</t>
  </si>
  <si>
    <t>5 (PART)</t>
  </si>
  <si>
    <t>Servicio para registro de admin: correo, codigoactivacion</t>
  </si>
  <si>
    <t>Servicio para registro de admin: codigo de confirmacion, pw, cpw</t>
  </si>
  <si>
    <t>Servicio para consultar participantes de una empresa y sus estatus de activacion</t>
  </si>
  <si>
    <t>Servicio para activar participantes de manera individual, y lanzar correo de activacion</t>
  </si>
  <si>
    <t>NA</t>
  </si>
  <si>
    <t>**Revisar tema de DOMINIO API</t>
  </si>
  <si>
    <t>**Revisar tema de retiros especitico para soriana</t>
  </si>
  <si>
    <t>**Para incorporar SAF Y SAII, se deben de migrar primero a .NET VectorPAI</t>
  </si>
  <si>
    <t>**Revisar tema de TOKEN ACCESO, tipo SSO para Soriana</t>
  </si>
  <si>
    <t>/api/v1/register?type=person</t>
  </si>
  <si>
    <t>/api/v1/register/submit?type=person</t>
  </si>
  <si>
    <t>/api/v1/login?type=person</t>
  </si>
  <si>
    <t>/api/v1/logout?type=person</t>
  </si>
  <si>
    <t>/api/v1/recover?type=person</t>
  </si>
  <si>
    <t>/api/v1/recover/submit?type=person</t>
  </si>
  <si>
    <t>/api/v1/password/change?type=person</t>
  </si>
  <si>
    <t>/api/v1/register?type=admin</t>
  </si>
  <si>
    <t>/api/v1/register/submit?type=admin</t>
  </si>
  <si>
    <t>/api/v1/login?type=admin</t>
  </si>
  <si>
    <t>/api/v1/logout?type=admin</t>
  </si>
  <si>
    <t>/api/v1/recover?type=admin</t>
  </si>
  <si>
    <t>/api/v1/recover/submit?type=admin</t>
  </si>
  <si>
    <t>/api/v1/password/change?type=admin</t>
  </si>
  <si>
    <t>1 (SISTEMAS)</t>
  </si>
  <si>
    <t>**SE GENERA CON SCRIPT</t>
  </si>
  <si>
    <t>djkasjdlkasjkldas</t>
  </si>
  <si>
    <t>hrivera@vector.com.mx</t>
  </si>
  <si>
    <t>dkasldjlasdkasñlkdña</t>
  </si>
  <si>
    <t>PERFILES</t>
  </si>
  <si>
    <t>SISTEMAS/VECTOR</t>
  </si>
  <si>
    <t>Servicio para login, lambda que se comunica con cognito, obtiene perfil, permisos, menus</t>
  </si>
  <si>
    <t>IDPERFIL</t>
  </si>
  <si>
    <t>DASHBOARD</t>
  </si>
  <si>
    <t>ADMIN-ADMINISTRADORES DE EMP</t>
  </si>
  <si>
    <t>2 (VECTOR)</t>
  </si>
  <si>
    <t>4 (EMPRESA)</t>
  </si>
  <si>
    <t>DAHSBOARD_EMPRESA_SERVICIOS</t>
  </si>
  <si>
    <t>EMPRESA SERVICIOS</t>
  </si>
  <si>
    <t>EMPRESA-PARTICIPANTES</t>
  </si>
  <si>
    <t>EMPRESA BRANDING</t>
  </si>
  <si>
    <t>OSTYPE</t>
  </si>
  <si>
    <t>ANDROID</t>
  </si>
  <si>
    <t>IOS</t>
  </si>
  <si>
    <t>MODEL</t>
  </si>
  <si>
    <t>XIAMI</t>
  </si>
  <si>
    <t>OSVERSION</t>
  </si>
  <si>
    <t>APPLE</t>
  </si>
  <si>
    <t>DATOS USUARIO APP</t>
  </si>
  <si>
    <t>FECHA</t>
  </si>
  <si>
    <t>HORA</t>
  </si>
  <si>
    <t>IP</t>
  </si>
  <si>
    <t>GEOLOCALIZACION</t>
  </si>
  <si>
    <t xml:space="preserve">TIEMPO EJECUSION </t>
  </si>
  <si>
    <t>PARAMS</t>
  </si>
  <si>
    <t>ESTATUS PETICION</t>
  </si>
  <si>
    <t>BITACORAAPP</t>
  </si>
  <si>
    <t>IDELEMENTO</t>
  </si>
  <si>
    <t>IDUSUARIO_UNICO</t>
  </si>
  <si>
    <t>Se verifica si el email no exista en PARTICIPANTE_AUTH, si no lo crea,  genera IDUSUARIO_UNICO, se genera Codigo AC</t>
  </si>
  <si>
    <t>Se asocia el IDUSUARIO_UNICO a la idempresa-idparticipante</t>
  </si>
  <si>
    <t>Se verifica por cada participante, que el email no exista en PARTICIPANTE_AUTH, si no lo crea,  genera IDUSUARIO_UNICO, se genera Codigo AC</t>
  </si>
  <si>
    <t>**Origen, como fuente de informacion; lo va a gestionar .NET</t>
  </si>
  <si>
    <t>REL_ORIGEN_EMPRESA_PARTICIPANTE_USUARIOUNICO (TABLA PUEDE ESTAR EN LA NUBE)</t>
  </si>
  <si>
    <t>VIGENCIA_CODIGO_ACTIVACION</t>
  </si>
  <si>
    <t>CAHPAT</t>
  </si>
  <si>
    <t>Caja Ahorro</t>
  </si>
  <si>
    <t>FECHA VALUACION</t>
  </si>
  <si>
    <t>NO.CONTRATO</t>
  </si>
  <si>
    <t>FONDO EMPLEADOS</t>
  </si>
  <si>
    <t>Fondo</t>
  </si>
  <si>
    <t>Pensiones</t>
  </si>
  <si>
    <t>TODOS</t>
  </si>
  <si>
    <t>SELECCIÓN EMPRESA</t>
  </si>
  <si>
    <t>/api/v1/admin/companies</t>
  </si>
  <si>
    <t>/api/v1/admin/company/persons?</t>
  </si>
  <si>
    <t>/api/v1/admin/company/persons/activate?</t>
  </si>
  <si>
    <t>/api/v1/admin/company/person/activate?</t>
  </si>
  <si>
    <t>Servicio para obtener las empresas a las tiene acceso el adminsitrador</t>
  </si>
  <si>
    <t>/api/v1/admin/company/dashboard?</t>
  </si>
  <si>
    <t>Servicio para obtener resumen dashboard de una empresa</t>
  </si>
  <si>
    <t>/api/v1/admin/company/services?</t>
  </si>
  <si>
    <t>Servicio para obtener los servicios de la empresa</t>
  </si>
  <si>
    <t>PUT</t>
  </si>
  <si>
    <t>/api/v1/admin/company/service?</t>
  </si>
  <si>
    <t>Servicio para ACTIVAR O DESACTIVAR serviciio de la empresa</t>
  </si>
  <si>
    <t>Servicio para obtener la configuracion branding de la empresa</t>
  </si>
  <si>
    <t>Servicio para actualizar la configuracion branding de la empresa</t>
  </si>
  <si>
    <t>PARTICIPANTE</t>
  </si>
  <si>
    <t>Servicio para obtener la configuracion global</t>
  </si>
  <si>
    <t>Servicio para actualizar la configuracion global</t>
  </si>
  <si>
    <t>MSG BLOQUEO</t>
  </si>
  <si>
    <t>MOTIVO BLOQUEO</t>
  </si>
  <si>
    <t>BANNER</t>
  </si>
  <si>
    <t>MSG BANNER</t>
  </si>
  <si>
    <t>AVISO</t>
  </si>
  <si>
    <t>ABC</t>
  </si>
  <si>
    <t>ELEMENTO</t>
  </si>
  <si>
    <t>REACT</t>
  </si>
  <si>
    <t>RECUPERACION</t>
  </si>
  <si>
    <t xml:space="preserve">Pantalla para realizar login, obtener token de sesion y perfil </t>
  </si>
  <si>
    <t>Pantalla para relizar recuperacion de contraseña, captura</t>
  </si>
  <si>
    <t>Pantalla para selección de empresa a las tiene acceso el adminsitrador</t>
  </si>
  <si>
    <t>MENU LATERAL</t>
  </si>
  <si>
    <t>Opcion para realizar cambio de contraseña/cierre sesion</t>
  </si>
  <si>
    <t>Presentar opciones del menu en base al perfil y empresa seleccionada</t>
  </si>
  <si>
    <t>Patnalla para presentar resumen dashboard de una empresa</t>
  </si>
  <si>
    <t>Presentar opciones del menu en base al perfil y empresa seleccionada, icono empresa</t>
  </si>
  <si>
    <t>Pantalla para consultar participantes de una empresa y sus estatus de activacion</t>
  </si>
  <si>
    <t>Pantalla para activar participantes de manera individual</t>
  </si>
  <si>
    <t>EMPRESA: DASHBOARD</t>
  </si>
  <si>
    <t>EMPRESA: PARTICIPANTES</t>
  </si>
  <si>
    <t>EMPRESA: SERVICIOS</t>
  </si>
  <si>
    <t>Pantalla para obtener los servicios de la empresa</t>
  </si>
  <si>
    <t>Pantalla para ACTIVAR O DESACTIVAR serviciio de la empresa</t>
  </si>
  <si>
    <t>Configuracion de HOST domain: DEV/QA/PROD</t>
  </si>
  <si>
    <t>Configuracion de proyecto amplify pipilines DEV/QA/PROD vs Git</t>
  </si>
  <si>
    <t>WEB</t>
  </si>
  <si>
    <t>MSG AVISO</t>
  </si>
  <si>
    <t>Manejo expiracion de sesion</t>
  </si>
  <si>
    <t>GENERAL</t>
  </si>
  <si>
    <t>Opcion para presentar Mensaje Popup Aviso</t>
  </si>
  <si>
    <t>Banner Texto en la parte superior</t>
  </si>
  <si>
    <t>Cognito valida sesion valida (expiracion, vigencia, etc)?</t>
  </si>
  <si>
    <t>Configuracion de Proyecto REACT, git repositories</t>
  </si>
  <si>
    <t>REACT NATIVE</t>
  </si>
  <si>
    <t>Pantalla para registro de admin: registro y confirmacion</t>
  </si>
  <si>
    <t>Pantalla para soliictar permiso y obtener geolocalizacion del usuario</t>
  </si>
  <si>
    <t>Pantalla para realizar cambio de contraseña, revisar tema de password expirado cognito</t>
  </si>
  <si>
    <t>Aplicar branding de empresa (styles e icono empresa) en base al perfil</t>
  </si>
  <si>
    <t xml:space="preserve">Pantalla para presentar los contratos asociados al participante y selección </t>
  </si>
  <si>
    <t>Presentar opciones de menu en base a perfil de usuario</t>
  </si>
  <si>
    <t>MENU LATERAL O TABS</t>
  </si>
  <si>
    <t>Opcion para pantalla de Acerca de y ayuda</t>
  </si>
  <si>
    <t>PRINCIPAL: SALDOS</t>
  </si>
  <si>
    <t>PRINCIPAL: META AHORRO</t>
  </si>
  <si>
    <t>PRINCIPAL: RESUMEN MOVS</t>
  </si>
  <si>
    <t>PRINCIPAL: DETALLE MOVS</t>
  </si>
  <si>
    <t>PRINCIPAL: RESUMEN PRESTAMOS</t>
  </si>
  <si>
    <t>PRINCIPAL: DETALLE PRESTAMOS</t>
  </si>
  <si>
    <t>Seccion en pantalla principal para presentar saldo del participante y meta de ahorro</t>
  </si>
  <si>
    <t>Seccion en pantalla principal para presentar resumen de movimientos</t>
  </si>
  <si>
    <t>Seccion en pantalla principal para registrar meta de ahorro del participante</t>
  </si>
  <si>
    <t>Seccion en pantalla principal para presentar  RESUMEN de prestamos</t>
  </si>
  <si>
    <t>Pantalla para presentar DETALLE de movimientos</t>
  </si>
  <si>
    <t>Pantalla para presentar  DETALLE de prestamos</t>
  </si>
  <si>
    <t>Pantalla para presentar meses disponibles de resumen de movs</t>
  </si>
  <si>
    <t>Opcion para ver y descargar pdf de resumen de movs base64</t>
  </si>
  <si>
    <t>Pantalla para presentar simulacion de prestamos</t>
  </si>
  <si>
    <t>Pantalla para presentar folio de prestamos solicitado</t>
  </si>
  <si>
    <t>Opcion para cancelar un prestamos solicitado</t>
  </si>
  <si>
    <t>DAHSBOARD_CONF_PARAMS</t>
  </si>
  <si>
    <t>PARAMETRO</t>
  </si>
  <si>
    <t>VALOR</t>
  </si>
  <si>
    <t>se recibe tambien appversion, ip, geolocalizacion, osversion, ostype (andr/ios), canal (web/movil), phonemodel</t>
  </si>
  <si>
    <t>Pantalla para captura de prestamos, presentar apartado de prestamos pendientes</t>
  </si>
  <si>
    <t>Pantalla para captura de retiros, presentar apartado de retiros en revision</t>
  </si>
  <si>
    <t>Pantalla para presentar folio de retiro solicitado</t>
  </si>
  <si>
    <t>Opcion para cancelar un retiro solicitado en revision</t>
  </si>
  <si>
    <t>BACK</t>
  </si>
  <si>
    <t>Opcion para forzar actualizacion de app, por version vigente</t>
  </si>
  <si>
    <t>Ruteo de peticiones REST a distintas base de datos dependiendo del Origen solicitado</t>
  </si>
  <si>
    <t>Script para generar estructuras de tablas nuevas de base de datos y carga inicial de datos y catalogos</t>
  </si>
  <si>
    <t>APP_MIN_IOS_VER</t>
  </si>
  <si>
    <t>APP_MIN_ADR_VER</t>
  </si>
  <si>
    <t>1.0.1</t>
  </si>
  <si>
    <t>DAHSBOARD_CONF_PARAMS_EMP</t>
  </si>
  <si>
    <t>BASE64 PNG</t>
  </si>
  <si>
    <t>Realizar envio de archivo JSON a bucket S3 AWS de empresas</t>
  </si>
  <si>
    <t>Configuracion de Cognito, user pools</t>
  </si>
  <si>
    <t>Prepara CDK cdk-apisvector-pai: apigateway, lambdas, sqs, s3</t>
  </si>
  <si>
    <t>Prepara CDK cdk-apisvector-pai: CID con workflow de git  (Continuous integration deployment)</t>
  </si>
  <si>
    <t>Prepara CDK cdk-apisvector-pai: estructuras de tablas dynamodb, json empresa; estatus proceso sqs, etc</t>
  </si>
  <si>
    <t>Analisis arquitectura actual por incremento de volumen transaccional</t>
  </si>
  <si>
    <t>Analisis tema: de Manifiesto reactivo en .NET, revisar que el sistema no sea "bloqueante"</t>
  </si>
  <si>
    <t>REVISAR SI ALGUNAS TABLAS NO TRANSACCIONALES PUEDEN VIVIR EN AWS</t>
  </si>
  <si>
    <t>Prepara CDK cdk-apisvector-pai: apigateway's domain vectorpai.api.vectordev.com.mx</t>
  </si>
  <si>
    <t>Preparar ejemplo de servicio base GET/PUT/POST/DEL, con manejo de sesion JWT, validaciones y bitacora; para replicar en el universo de servicios</t>
  </si>
  <si>
    <t>Pantalla para presentar Mensaje Popup Aviso</t>
  </si>
  <si>
    <t>Configuracion base de servicios .env, Sagas, manejor de sesion JWT, resonsehandle, etc</t>
  </si>
  <si>
    <t>Pruebas integrales UAT</t>
  </si>
  <si>
    <t>Configuracion de correos de codigo de activacion y codigo de confirmacion, templates</t>
  </si>
  <si>
    <t>Falta apartado para permitir dar de alta usuarios de VECTOR/SISTEMAS</t>
  </si>
  <si>
    <t>Falta apartado para permitir configurar catalogos</t>
  </si>
  <si>
    <t>abc</t>
  </si>
  <si>
    <t>**PUEDE VER TODOS LAS EMPRESAS EN DASHBOARD</t>
  </si>
  <si>
    <t>**NO PUEDE ACCEDER A DASHBOARD</t>
  </si>
  <si>
    <t>**PUEDE VER SOLO LAS EMPRESAS DONDE TENGA RELACION (REL_ORIGEN_EMPRESA_ADMIN_USUARIOUNICO )</t>
  </si>
  <si>
    <t>REVISAR, BLOQUEAR/INACTIVAR  ACCESO DE SUPERUSUARIO,  ADMINISTRADOR, PARCITIPANTE</t>
  </si>
  <si>
    <t>/api/v1/enduser/sumary/companies?</t>
  </si>
  <si>
    <t>/api/v1/enduser/balance?</t>
  </si>
  <si>
    <t>/api/v1/enduser/goal?</t>
  </si>
  <si>
    <t>/api/v1/enduser/movs/sumary?</t>
  </si>
  <si>
    <t>/api/v1/enduser/movs/detail?</t>
  </si>
  <si>
    <t>/api/v1/enduser/loans/sumary?</t>
  </si>
  <si>
    <t>/api/v1/enduser/loans/detail?</t>
  </si>
  <si>
    <t>/api/v1/enduser/movs/history/{year}/{month}</t>
  </si>
  <si>
    <t>/api/v1/enduser/movs/history/download/{year}/{month}</t>
  </si>
  <si>
    <t>/api/v1/enduser/loan/request?</t>
  </si>
  <si>
    <t>/api/v1/enduser/loan/request/simulate?</t>
  </si>
  <si>
    <t>/api/v1/enduser/loan/request/submit?</t>
  </si>
  <si>
    <t>/api/v1/enduser/loan/request/{idprest}</t>
  </si>
  <si>
    <t>/api/v1/enduser/withdrawal?</t>
  </si>
  <si>
    <t>/api/v1/enduser/withdrawal/{idretiro}</t>
  </si>
  <si>
    <t>GRUPO</t>
  </si>
  <si>
    <t>PERFIL-MODULO</t>
  </si>
  <si>
    <t>CONTEXTO</t>
  </si>
  <si>
    <t>Pantalla para presentar y actualizar la configuracion branding de la empresa</t>
  </si>
  <si>
    <t>Pantalla para actualizar adminsitradores de manera individual: bloqueo, inactivar</t>
  </si>
  <si>
    <t>Pantalla para actualizar participante de manera individual: bloqueo, inactivar</t>
  </si>
  <si>
    <t>/api/v1/admin/company/person?</t>
  </si>
  <si>
    <t>Servicio para actualizar participante de manera individual: bloqueo, inactivar</t>
  </si>
  <si>
    <t>USUARIO</t>
  </si>
  <si>
    <t>SISTEMAS</t>
  </si>
  <si>
    <t>SERVICIO X</t>
  </si>
  <si>
    <t>SERVICIO Y</t>
  </si>
  <si>
    <t>SERVICIO Z</t>
  </si>
  <si>
    <t>192.168.1.15</t>
  </si>
  <si>
    <t>GEO LAT</t>
  </si>
  <si>
    <t>GEO LON</t>
  </si>
  <si>
    <t>CONTRATO</t>
  </si>
  <si>
    <t>G-LEAR</t>
  </si>
  <si>
    <t>IDGRUPO</t>
  </si>
  <si>
    <t>Lear MTO</t>
  </si>
  <si>
    <t>Lear ELECTRICAL</t>
  </si>
  <si>
    <t>G-EMPRESAS VECTOR</t>
  </si>
  <si>
    <t>CAT_GRUPOS</t>
  </si>
  <si>
    <t>REL_GRUPO_CONTRATO</t>
  </si>
  <si>
    <t>IDUSUARIOUNICO (ADMIN/VECTOR/SISTEMAS)</t>
  </si>
  <si>
    <t>REL_GRUPO_ADMIN_ACCESO</t>
  </si>
  <si>
    <t>Lear PMO</t>
  </si>
  <si>
    <t>FONDOS EMPLEADOS</t>
  </si>
  <si>
    <t xml:space="preserve"> </t>
  </si>
  <si>
    <t>SELECCIONA GRUPO:</t>
  </si>
  <si>
    <t>&lt;G-LEAR&gt;</t>
  </si>
  <si>
    <t>SELECCIONA SELECCIONAR TODOS LOS CONTRATOS</t>
  </si>
  <si>
    <t>()</t>
  </si>
  <si>
    <t>SELECCION MANUAL</t>
  </si>
  <si>
    <t>X</t>
  </si>
  <si>
    <t>CASO1: SELECCIÓN MANUAL</t>
  </si>
  <si>
    <t>(x)</t>
  </si>
  <si>
    <t>CASO3: MODIFICAR</t>
  </si>
  <si>
    <t>CASO2: SELECCIÓN GRUPO TODOS</t>
  </si>
  <si>
    <t>IDCICLO</t>
  </si>
  <si>
    <r>
      <t xml:space="preserve">REL_ORIGEN_EMPRESA_PARTICIPANTE_USUARIOUNICO (TABLA PUEDE ESTAR EN LA NUBE) </t>
    </r>
    <r>
      <rPr>
        <b/>
        <sz val="11"/>
        <color rgb="FFFF0000"/>
        <rFont val="Aptos Narrow"/>
        <family val="2"/>
        <scheme val="minor"/>
      </rPr>
      <t>(HISTORICO)</t>
    </r>
  </si>
  <si>
    <t>Modulo para asignar administradores a una grupo y/o contrato</t>
  </si>
  <si>
    <t>MODULO ADMINISTRADORES</t>
  </si>
  <si>
    <t>VECTORPAI</t>
  </si>
  <si>
    <t>MODULO GRUPOS DE EMPRESAS</t>
  </si>
  <si>
    <t>Modulo para relacionar contratos a Grupos de Empresas</t>
  </si>
  <si>
    <t>MODULO PARAMETROS</t>
  </si>
  <si>
    <t>Modulo bloquear acceso y colocar mensaje, banner o aviso</t>
  </si>
  <si>
    <t>MODULO BITACORA</t>
  </si>
  <si>
    <t>Servicio para agregar contrato(s) a un grupo de empres</t>
  </si>
  <si>
    <t>Servicio para actualizar grupo: nombre, activo, bloqueo,etc</t>
  </si>
  <si>
    <t>Servicio para obtener Adminsitradores: idadmin, nombre, grupo, contrato</t>
  </si>
  <si>
    <t>Servicio para obtener los grupos disponibles</t>
  </si>
  <si>
    <t>Servicio para obtener los contratos de un grupo seleccionado</t>
  </si>
  <si>
    <t>Servicio para actualizar administrador: activo, bloqueo,etc</t>
  </si>
  <si>
    <t>MODULO PARAMETROS GLOBAL</t>
  </si>
  <si>
    <t>EMPRESA: CONFIGURACION: LOOKANDFEEL</t>
  </si>
  <si>
    <t>EMPRESA: CONFIGURACION: PARAMETROS</t>
  </si>
  <si>
    <t>Pantalla para presentar y actualizar la configuracion de la empresa: mensaje, aviso, bloqueo, etc</t>
  </si>
  <si>
    <t>/api/v1/admin/company/config/params?</t>
  </si>
  <si>
    <t>/api/v1/admin/company/config/lookandfeel?</t>
  </si>
  <si>
    <t>Servicio para obtener la configuracion de la empresa: aviso, mensaje, bloqueo, etc</t>
  </si>
  <si>
    <t>Servicio para actualizar la configuracion de la empresa: aviso, mensaje, bloqueo, etc</t>
  </si>
  <si>
    <t>/api/v1/admin/config/params?</t>
  </si>
  <si>
    <t>/api/v1/admin/config/groups?</t>
  </si>
  <si>
    <t>/api/v1/admin/config/group?</t>
  </si>
  <si>
    <t>/api/v1/admin/config/group/admin?</t>
  </si>
  <si>
    <t>/api/v1/admin/config/group/admins?</t>
  </si>
  <si>
    <t>Servicio para obtener los grupos</t>
  </si>
  <si>
    <t>/api/v1/admin/config/group/contracts?</t>
  </si>
  <si>
    <t>Servicio para obtener contratos de un grupo</t>
  </si>
  <si>
    <t>/api/v1/admin/bitacora</t>
  </si>
  <si>
    <t>Script para dar de alta SuperUsurio para Adminisitrar Adminsitradores</t>
  </si>
  <si>
    <t>Preparar nuevo PROYECTO para este set de servicios</t>
  </si>
  <si>
    <t>Liberacion: publicar tiendas, etc</t>
  </si>
  <si>
    <t>Liberacion: registro aplicación tiendas</t>
  </si>
  <si>
    <t>FRONT</t>
  </si>
  <si>
    <t>Pruebas F&amp;F</t>
  </si>
  <si>
    <t>Row Labels</t>
  </si>
  <si>
    <t>Grand Total</t>
  </si>
  <si>
    <t xml:space="preserve">Pantalla para registro de admin: registro y confirmacion </t>
  </si>
  <si>
    <t>Pantalla para activar participantes de manera masiva</t>
  </si>
  <si>
    <t>Servicio para obtener datos de la captura de pantalla, parametros;  retiros con estatus de "en revision"; La lambda debe de encolar la peticion en SQS; actualizar banderaes en DynamoDB</t>
  </si>
  <si>
    <t>ESTIMACION (HRS)</t>
  </si>
  <si>
    <t>ESTIMACION (DIAS)</t>
  </si>
  <si>
    <t>ESTIMACION (MESES)</t>
  </si>
  <si>
    <t>Sum of ESTIMACION (DIAS)</t>
  </si>
  <si>
    <t>Sum of ESTIMACION (MESES)</t>
  </si>
  <si>
    <t>S3 Lambda para procesar JSON de multiples empresas y almacenar en DYNAMO ORIGEN/CONTRATO/PARTCIPANTE</t>
  </si>
  <si>
    <t>PERFIL-IDSERVICIO</t>
  </si>
  <si>
    <t>IDSERVICIO</t>
  </si>
  <si>
    <t>SERVICIOS</t>
  </si>
  <si>
    <t>NUBE</t>
  </si>
  <si>
    <t>PREMISE</t>
  </si>
  <si>
    <t xml:space="preserve">AWS LAMBDA recibe por headers: JWT; </t>
  </si>
  <si>
    <t>AWS LAMBDA valida que no exista bloqueo  de acceso a nivel global (dynamodb.DAHSBOARD_CONF_PARAMS)</t>
  </si>
  <si>
    <t>AWS LAMBDA verficar version vigente app android/ios (dynamodb.DAHSBOARD_CONF_PARAMS)</t>
  </si>
  <si>
    <t>AWS LAMBDA valida que exista esa relacion  (dynamo.PARTICIPANTE_AUTH | REL_ORIGEN_EMPRESA_PARTICIPANTE_USUARIOUNICO)</t>
  </si>
  <si>
    <t>AWS LAMBDA valida que la empresa se encuentra Activa, no exista bloqueo  de acceso a nivel empresa a consultar (dynam.DAHSBOARD_CONF_PARAMS_EMP)</t>
  </si>
  <si>
    <t>AWS LAMBDA que el usuario tenga acceso al servicio (dynamo.PERFIL-IDSERVICIO  | SERVICIO)</t>
  </si>
  <si>
    <t>AWS LAMBDA finnaly se genera bitacora de acceso: elemento, usuario, fecha, hora, tiempo ejecucion etc (dynamo.BITACORAAPP)</t>
  </si>
  <si>
    <t>Entregamos la informacion que esta alojada en DYBAMODB</t>
  </si>
  <si>
    <t>LAMBDA/DYNAMODB/COGNITO</t>
  </si>
  <si>
    <t>Servicio para actualizar JSON de participante una vez realizado retiro/PRESTAMO</t>
  </si>
  <si>
    <t>API MANAGER? Autenticacion AWS/..NET (JWT)</t>
  </si>
  <si>
    <t>USUARIOUNICO (TABLA PUEDE ESTAR EN LA NUBE)</t>
  </si>
  <si>
    <t>LAMBDA/DYNAMODB/.NET</t>
  </si>
  <si>
    <t>AWS LAMBDA</t>
  </si>
  <si>
    <t>Preparar proceso asincrono para generar archivo JSON de empresa SOLO para la empresa con bandera ACTIVOAPP true (JAVA)</t>
  </si>
  <si>
    <t>Tarea para depurar estatus retiros, etc  (tareas asincronas con estatus o encolamiento de peticiones)</t>
  </si>
  <si>
    <t>Trigger para generar y enviar  actualizacion de saldo pend /estatus prestamo de participante una vez realizado retiro/PRESTAMO</t>
  </si>
  <si>
    <t>Recibe listado de contratos relac</t>
  </si>
  <si>
    <t>Servicio para activar participantes de manera masiva, y lanzar correo de activacion</t>
  </si>
  <si>
    <t>.NET GRAFICO</t>
  </si>
  <si>
    <t>Generar SCRIPT para carga inicial de catalogos X9</t>
  </si>
  <si>
    <t>CATALOGOS SCRIPTS</t>
  </si>
  <si>
    <t>Servicio para consultar participantes de una empresa y sus estatus de activacion; considerar paginacion (10x10)</t>
  </si>
  <si>
    <t xml:space="preserve">Pantalla para presentar bitacora de acceso, con paginacion (10x10) y filtros </t>
  </si>
  <si>
    <t>Servicio para obtener registros de bitacora, con filtros de fecha/hora, correo, considerar paginacion (10x10); exportacion</t>
  </si>
  <si>
    <t>Servicio para simular el prestamo, llevar los calculos a la nube, conf tablas de amort</t>
  </si>
  <si>
    <t>LAMBDA/SQS</t>
  </si>
  <si>
    <t>LAMBDA/SQS/</t>
  </si>
  <si>
    <t>MODULO CATALOGO DE GRUPOS</t>
  </si>
  <si>
    <t>Modulo para AGREGAR grupo de contratos</t>
  </si>
  <si>
    <t>Servicio para actualizar administrador-grupo-contrato, enviar codigo de activacion de admin</t>
  </si>
  <si>
    <t>Mecanismo de autenticacion desde AWS-lambda a servicios .NET (SSO?APIMANEGER?)</t>
  </si>
  <si>
    <t>Mecanismo de autenticacion desde .NET hacia servicios AWS-lambda para pantallas superusuario (SSO?AWSSDK?)</t>
  </si>
  <si>
    <t>FASE2</t>
  </si>
  <si>
    <t xml:space="preserve">[PARALELO 1] Pruebas usuarios UAT  </t>
  </si>
  <si>
    <t xml:space="preserve">[PARALELO 1] Pentest MOVIL UAT </t>
  </si>
  <si>
    <t xml:space="preserve">[PARALELO 1] Auditoria Interna: vulnerabilidades </t>
  </si>
  <si>
    <t>[PARALELO 1]  Documentacion, control de cambios</t>
  </si>
  <si>
    <t>Deployment Liberacion</t>
  </si>
  <si>
    <t>ARQ</t>
  </si>
  <si>
    <t>PRUE</t>
  </si>
  <si>
    <t>LIB</t>
  </si>
  <si>
    <t>SUMMARY</t>
  </si>
  <si>
    <t>Story Points</t>
  </si>
  <si>
    <t>RVPM-154</t>
  </si>
  <si>
    <t>EPIC LINK</t>
  </si>
  <si>
    <t>CATALOGO EMPRESAS</t>
  </si>
  <si>
    <t>NOMBRE EMPRESA</t>
  </si>
  <si>
    <t>NOMBRE PART</t>
  </si>
  <si>
    <t>MAY-SEP 2025</t>
  </si>
  <si>
    <t>FASE1</t>
  </si>
  <si>
    <t>OCT-NOV 2025</t>
  </si>
  <si>
    <t xml:space="preserve">APP </t>
  </si>
  <si>
    <t xml:space="preserve">Registrar datos del dispositivo; generar identificador del dispositivo y almacenar en keychain </t>
  </si>
  <si>
    <t>Captura: email, password, identificador dispositivo</t>
  </si>
  <si>
    <t xml:space="preserve">Validar id dispositivo vs el registrado  </t>
  </si>
  <si>
    <t>D1S2AD3AS1D23A1312323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</si>
</sst>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3" fillId="0" borderId="0" applyNumberFormat="0" applyFill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7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1"/>
    <xf numFmtId="0" fontId="5" fillId="3" borderId="0" xfId="2"/>
    <xf numFmtId="0" fontId="6" fillId="4" borderId="0" xfId="3"/>
    <xf numFmtId="0" fontId="4" fillId="6" borderId="0" xfId="5"/>
    <xf numFmtId="0" fontId="4" fillId="7" borderId="0" xfId="6"/>
    <xf numFmtId="0" fontId="4" fillId="5" borderId="0" xfId="4"/>
    <xf numFmtId="0" fontId="3" fillId="0" borderId="1" xfId="1" applyBorder="1"/>
    <xf numFmtId="14" fontId="0" fillId="0" borderId="0" xfId="0" applyNumberFormat="1"/>
    <xf numFmtId="0" fontId="7" fillId="8" borderId="0" xfId="7"/>
    <xf numFmtId="0" fontId="4" fillId="9" borderId="0" xfId="8"/>
    <xf numFmtId="0" fontId="4" fillId="10" borderId="0" xfId="9"/>
    <xf numFmtId="20" fontId="0" fillId="0" borderId="0" xfId="0" applyNumberFormat="1"/>
    <xf numFmtId="0" fontId="0" fillId="0" borderId="3" xfId="0" applyBorder="1"/>
    <xf numFmtId="0" fontId="0" fillId="0" borderId="4" xfId="0" applyBorder="1"/>
    <xf numFmtId="0" fontId="4" fillId="6" borderId="0" xfId="5" applyBorder="1"/>
    <xf numFmtId="0" fontId="5" fillId="3" borderId="0" xfId="2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6" xfId="0" applyFont="1" applyBorder="1"/>
    <xf numFmtId="0" fontId="4" fillId="7" borderId="0" xfId="6" applyBorder="1"/>
    <xf numFmtId="0" fontId="1" fillId="0" borderId="10" xfId="0" applyFont="1" applyBorder="1"/>
    <xf numFmtId="0" fontId="0" fillId="0" borderId="11" xfId="0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4" fillId="7" borderId="15" xfId="6" applyBorder="1"/>
    <xf numFmtId="0" fontId="0" fillId="0" borderId="16" xfId="0" applyBorder="1"/>
    <xf numFmtId="0" fontId="0" fillId="0" borderId="0" xfId="0" applyAlignment="1">
      <alignment horizontal="right"/>
    </xf>
    <xf numFmtId="0" fontId="4" fillId="11" borderId="0" xfId="10"/>
    <xf numFmtId="0" fontId="9" fillId="0" borderId="0" xfId="0" applyFont="1"/>
    <xf numFmtId="0" fontId="9" fillId="2" borderId="0" xfId="0" applyFont="1" applyFill="1"/>
    <xf numFmtId="0" fontId="10" fillId="0" borderId="0" xfId="0" applyFont="1"/>
    <xf numFmtId="0" fontId="10" fillId="2" borderId="0" xfId="0" applyFont="1" applyFill="1"/>
    <xf numFmtId="0" fontId="0" fillId="12" borderId="0" xfId="0" applyFill="1"/>
    <xf numFmtId="0" fontId="1" fillId="1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14" borderId="0" xfId="0" applyFont="1" applyFill="1"/>
    <xf numFmtId="0" fontId="1" fillId="15" borderId="0" xfId="0" applyFont="1" applyFill="1"/>
    <xf numFmtId="0" fontId="0" fillId="15" borderId="0" xfId="0" applyFill="1"/>
    <xf numFmtId="2" fontId="0" fillId="0" borderId="0" xfId="0" applyNumberFormat="1"/>
    <xf numFmtId="0" fontId="0" fillId="0" borderId="0" xfId="0" applyAlignment="1">
      <alignment horizontal="left" indent="1"/>
    </xf>
    <xf numFmtId="0" fontId="11" fillId="0" borderId="0" xfId="0" applyFont="1"/>
    <xf numFmtId="0" fontId="0" fillId="16" borderId="0" xfId="0" applyFill="1"/>
    <xf numFmtId="0" fontId="1" fillId="16" borderId="0" xfId="0" applyFont="1" applyFill="1"/>
    <xf numFmtId="0" fontId="13" fillId="0" borderId="0" xfId="0" applyFont="1"/>
    <xf numFmtId="2" fontId="12" fillId="0" borderId="0" xfId="0" applyNumberFormat="1" applyFont="1"/>
    <xf numFmtId="2" fontId="13" fillId="0" borderId="0" xfId="0" applyNumberFormat="1" applyFont="1"/>
    <xf numFmtId="0" fontId="1" fillId="0" borderId="2" xfId="0" applyFont="1" applyBorder="1"/>
    <xf numFmtId="0" fontId="1" fillId="0" borderId="7" xfId="0" applyFont="1" applyBorder="1"/>
    <xf numFmtId="2" fontId="0" fillId="0" borderId="4" xfId="0" applyNumberFormat="1" applyBorder="1"/>
    <xf numFmtId="2" fontId="0" fillId="0" borderId="9" xfId="0" applyNumberFormat="1" applyBorder="1"/>
    <xf numFmtId="2" fontId="0" fillId="0" borderId="5" xfId="0" applyNumberFormat="1" applyBorder="1"/>
    <xf numFmtId="2" fontId="0" fillId="0" borderId="8" xfId="0" applyNumberFormat="1" applyBorder="1"/>
    <xf numFmtId="0" fontId="1" fillId="17" borderId="17" xfId="0" applyFont="1" applyFill="1" applyBorder="1"/>
    <xf numFmtId="0" fontId="1" fillId="17" borderId="0" xfId="0" applyFont="1" applyFill="1"/>
    <xf numFmtId="0" fontId="1" fillId="18" borderId="0" xfId="0" applyFont="1" applyFill="1"/>
    <xf numFmtId="0" fontId="0" fillId="18" borderId="0" xfId="0" applyFill="1"/>
    <xf numFmtId="0" fontId="1" fillId="0" borderId="0" xfId="0" applyFont="1" applyAlignment="1">
      <alignment horizontal="center"/>
    </xf>
    <xf numFmtId="0" fontId="4" fillId="19" borderId="0" xfId="8" applyFill="1"/>
    <xf numFmtId="0" fontId="9" fillId="19" borderId="0" xfId="0" applyFont="1" applyFill="1"/>
    <xf numFmtId="0" fontId="0" fillId="19" borderId="0" xfId="0" applyFill="1"/>
    <xf numFmtId="0" fontId="1" fillId="19" borderId="0" xfId="0" applyFont="1" applyFill="1"/>
    <xf numFmtId="0" fontId="4" fillId="19" borderId="0" xfId="9" applyFill="1"/>
    <xf numFmtId="0" fontId="4" fillId="19" borderId="0" xfId="4" applyFill="1"/>
  </cellXfs>
  <cellStyles count="11">
    <cellStyle name="20% - Énfasis2" xfId="4" builtinId="34"/>
    <cellStyle name="20% - Énfasis3" xfId="10" builtinId="38"/>
    <cellStyle name="20% - Énfasis4" xfId="8" builtinId="42"/>
    <cellStyle name="20% - Énfasis5" xfId="9" builtinId="46"/>
    <cellStyle name="40% - Énfasis2" xfId="5" builtinId="35"/>
    <cellStyle name="40% - Énfasis5" xfId="6" builtinId="47"/>
    <cellStyle name="Bueno" xfId="2" builtinId="26"/>
    <cellStyle name="Hipervínculo" xfId="1" builtinId="8"/>
    <cellStyle name="Incorrecto" xfId="7" builtinId="27"/>
    <cellStyle name="Neutral" xfId="3" builtinId="28"/>
    <cellStyle name="Normal" xfId="0" builtinId="0"/>
  </cellStyles>
  <dxfs count="4">
    <dxf>
      <numFmt numFmtId="2" formatCode="0.00"/>
    </dxf>
    <dxf>
      <numFmt numFmtId="164" formatCode="0.0"/>
    </dxf>
    <dxf>
      <numFmt numFmtId="164" formatCode="0.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SMACAS" refreshedDate="45782.659260763889" createdVersion="8" refreshedVersion="8" minRefreshableVersion="3" recordCount="152" xr:uid="{3385D6E1-2CD6-473B-82E0-CE3E2F145134}">
  <cacheSource type="worksheet">
    <worksheetSource ref="A1:M153" sheet="ACTIVIDADES"/>
  </cacheSource>
  <cacheFields count="13">
    <cacheField name="PLATAFORMA" numFmtId="0">
      <sharedItems count="5">
        <s v="GENERAL"/>
        <s v="DASHBOARD"/>
        <s v="VECTORPAI"/>
        <s v="MOVIL"/>
        <s v="DASHBOARD " u="1"/>
      </sharedItems>
    </cacheField>
    <cacheField name="TIPO" numFmtId="0">
      <sharedItems/>
    </cacheField>
    <cacheField name="REQ" numFmtId="0">
      <sharedItems count="8">
        <s v="BACK"/>
        <s v="ARQ"/>
        <s v="FRONT"/>
        <s v="PRUE"/>
        <s v="LIB"/>
        <s v="ARQUITECTURA" u="1"/>
        <s v="PRUEBAS" u="1"/>
        <s v="LIBERACION" u="1"/>
      </sharedItems>
    </cacheField>
    <cacheField name="PERFILES" numFmtId="0">
      <sharedItems containsBlank="1"/>
    </cacheField>
    <cacheField name="MODULO" numFmtId="0">
      <sharedItems containsBlank="1"/>
    </cacheField>
    <cacheField name="METODO" numFmtId="0">
      <sharedItems containsBlank="1"/>
    </cacheField>
    <cacheField name="HEADERS JWT" numFmtId="0">
      <sharedItems containsNonDate="0" containsString="0" containsBlank="1"/>
    </cacheField>
    <cacheField name="SERVICIO" numFmtId="0">
      <sharedItems containsBlank="1"/>
    </cacheField>
    <cacheField name="DESCRIPCION" numFmtId="0">
      <sharedItems/>
    </cacheField>
    <cacheField name="FASE2" numFmtId="0">
      <sharedItems containsString="0" containsBlank="1" containsNumber="1" containsInteger="1" minValue="1" maxValue="1"/>
    </cacheField>
    <cacheField name="ESTIMACION (HRS)" numFmtId="0">
      <sharedItems containsString="0" containsBlank="1" containsNumber="1" containsInteger="1" minValue="2" maxValue="80"/>
    </cacheField>
    <cacheField name="ESTIMACION (DIAS)" numFmtId="0">
      <sharedItems containsString="0" containsBlank="1" containsNumber="1" minValue="0" maxValue="10"/>
    </cacheField>
    <cacheField name="ESTIMACION (MESES)" numFmtId="0">
      <sharedItems containsString="0" containsBlank="1" containsNumber="1" minValue="0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x v="0"/>
    <s v=".NET SCRIPT"/>
    <x v="0"/>
    <m/>
    <m/>
    <m/>
    <m/>
    <m/>
    <s v="Script para dar de alta SuperUsurio para Adminisitrar Adminsitradores"/>
    <m/>
    <n v="8"/>
    <n v="1"/>
    <n v="0.05"/>
  </r>
  <r>
    <x v="0"/>
    <s v=".NET SCRIPT"/>
    <x v="0"/>
    <m/>
    <m/>
    <m/>
    <m/>
    <m/>
    <s v="Script para generar estructuras de tablas nuevas de base de datos y carga inicial de datos y catalogos"/>
    <m/>
    <n v="20"/>
    <n v="2.5"/>
    <n v="0.125"/>
  </r>
  <r>
    <x v="0"/>
    <s v=".NET"/>
    <x v="0"/>
    <m/>
    <m/>
    <m/>
    <m/>
    <m/>
    <s v="Ruteo de peticiones REST a distintas base de datos dependiendo del Origen solicitado"/>
    <m/>
    <n v="16"/>
    <n v="2"/>
    <n v="0.1"/>
  </r>
  <r>
    <x v="0"/>
    <s v=".NET"/>
    <x v="0"/>
    <m/>
    <m/>
    <m/>
    <m/>
    <m/>
    <s v="Preparar nuevo PROYECTO para este set de servicios"/>
    <m/>
    <n v="8"/>
    <n v="1"/>
    <n v="0.05"/>
  </r>
  <r>
    <x v="0"/>
    <s v=".NET"/>
    <x v="0"/>
    <m/>
    <m/>
    <m/>
    <m/>
    <m/>
    <s v="Preparar ejemplo de servicio base GET/PUT/POST/DEL, con manejo de sesion JWT, validaciones y bitacora; para replicar en el universo de servicios"/>
    <m/>
    <n v="16"/>
    <n v="2"/>
    <n v="0.1"/>
  </r>
  <r>
    <x v="0"/>
    <s v=".NET"/>
    <x v="1"/>
    <m/>
    <m/>
    <m/>
    <m/>
    <m/>
    <s v="Preparar proceso asincrono para generar archivo JSON de empresa SOLO para la empresa con bandera ACTIVOAPP true (JAVA)"/>
    <m/>
    <n v="20"/>
    <n v="2.5"/>
    <n v="0.125"/>
  </r>
  <r>
    <x v="0"/>
    <s v=".NET"/>
    <x v="0"/>
    <m/>
    <m/>
    <m/>
    <m/>
    <m/>
    <s v="Realizar envio de archivo JSON a bucket S3 AWS de empresas"/>
    <m/>
    <n v="20"/>
    <n v="2.5"/>
    <n v="0.125"/>
  </r>
  <r>
    <x v="0"/>
    <s v="AWS"/>
    <x v="0"/>
    <m/>
    <m/>
    <m/>
    <m/>
    <m/>
    <s v="Prepara CDK cdk-apisvector-pai: apigateway, lambdas, sqs, s3"/>
    <m/>
    <n v="8"/>
    <n v="1"/>
    <n v="0.05"/>
  </r>
  <r>
    <x v="0"/>
    <s v="AWS"/>
    <x v="0"/>
    <m/>
    <m/>
    <m/>
    <m/>
    <m/>
    <s v="Prepara CDK cdk-apisvector-pai: estructuras de tablas dynamodb, json empresa; estatus proceso sqs, etc"/>
    <m/>
    <n v="8"/>
    <n v="1"/>
    <n v="0.05"/>
  </r>
  <r>
    <x v="0"/>
    <s v="AWS"/>
    <x v="0"/>
    <m/>
    <m/>
    <m/>
    <m/>
    <m/>
    <s v="Prepara CDK cdk-apisvector-pai: apigateway's domain vectorpai.api.vectordev.com.mx"/>
    <m/>
    <n v="8"/>
    <n v="1"/>
    <n v="0.05"/>
  </r>
  <r>
    <x v="0"/>
    <s v="AWS"/>
    <x v="0"/>
    <m/>
    <m/>
    <m/>
    <m/>
    <m/>
    <s v="Prepara CDK cdk-apisvector-pai: CID con workflow de git  (Continuous integration deployment)"/>
    <m/>
    <n v="16"/>
    <n v="2"/>
    <n v="0.1"/>
  </r>
  <r>
    <x v="0"/>
    <s v="AWS"/>
    <x v="0"/>
    <m/>
    <m/>
    <m/>
    <m/>
    <m/>
    <s v="Configuracion de correos de codigo de activacion y codigo de confirmacion, templates"/>
    <m/>
    <n v="16"/>
    <n v="2"/>
    <n v="0.1"/>
  </r>
  <r>
    <x v="0"/>
    <s v="AWS"/>
    <x v="0"/>
    <m/>
    <m/>
    <m/>
    <m/>
    <m/>
    <s v="Configuracion de Cognito, user pools"/>
    <m/>
    <n v="8"/>
    <n v="1"/>
    <n v="0.05"/>
  </r>
  <r>
    <x v="0"/>
    <s v="AWS"/>
    <x v="0"/>
    <m/>
    <m/>
    <m/>
    <m/>
    <m/>
    <s v="Tarea para depurar estatus retiros, etc  (tareas asincronas con estatus o encolamiento de peticiones)"/>
    <m/>
    <n v="16"/>
    <n v="2"/>
    <n v="0.1"/>
  </r>
  <r>
    <x v="0"/>
    <s v=".NET"/>
    <x v="1"/>
    <m/>
    <m/>
    <m/>
    <m/>
    <m/>
    <s v="Analisis arquitectura actual por incremento de volumen transaccional"/>
    <m/>
    <n v="8"/>
    <n v="1"/>
    <n v="0.05"/>
  </r>
  <r>
    <x v="0"/>
    <s v=".NET"/>
    <x v="1"/>
    <m/>
    <m/>
    <m/>
    <m/>
    <m/>
    <s v="Analisis tema: de Manifiesto reactivo en .NET, revisar que el sistema no sea &quot;bloqueante&quot;"/>
    <m/>
    <n v="8"/>
    <n v="1"/>
    <n v="0.05"/>
  </r>
  <r>
    <x v="0"/>
    <s v=".NET"/>
    <x v="1"/>
    <m/>
    <m/>
    <m/>
    <m/>
    <m/>
    <s v="API MANAGER? Autenticacion AWS/..NET (JWT)"/>
    <m/>
    <n v="8"/>
    <n v="1"/>
    <n v="0.05"/>
  </r>
  <r>
    <x v="0"/>
    <s v="AWS"/>
    <x v="0"/>
    <m/>
    <m/>
    <m/>
    <m/>
    <m/>
    <s v="S3 Lambda para procesar JSON de multiples empresas y almacenar en DYNAMO ORIGEN/CONTRATO/PARTCIPANTE"/>
    <m/>
    <n v="20"/>
    <n v="2.5"/>
    <n v="0.125"/>
  </r>
  <r>
    <x v="0"/>
    <s v=".NET"/>
    <x v="0"/>
    <m/>
    <m/>
    <m/>
    <m/>
    <m/>
    <s v="Trigger para generar y enviar  actualizacion de saldo pend /estatus prestamo de participante una vez realizado retiro/PRESTAMO"/>
    <m/>
    <n v="16"/>
    <n v="2"/>
    <n v="0.1"/>
  </r>
  <r>
    <x v="0"/>
    <s v="AWS"/>
    <x v="0"/>
    <m/>
    <m/>
    <m/>
    <m/>
    <m/>
    <s v="Servicio para actualizar JSON de participante una vez realizado retiro/PRESTAMO"/>
    <m/>
    <n v="8"/>
    <n v="1"/>
    <n v="0.05"/>
  </r>
  <r>
    <x v="0"/>
    <s v=".NET"/>
    <x v="0"/>
    <m/>
    <m/>
    <m/>
    <m/>
    <m/>
    <s v="Mecanismo de autenticacion desde AWS-lambda a servicios .NET (SSO?APIMANEGER?)"/>
    <m/>
    <n v="16"/>
    <n v="2"/>
    <n v="0.1"/>
  </r>
  <r>
    <x v="0"/>
    <s v=".NET"/>
    <x v="0"/>
    <m/>
    <m/>
    <m/>
    <m/>
    <m/>
    <s v="Mecanismo de autenticacion desde .NET hacia servicios AWS-lambda para pantallas superusuario (SSO?AWSSDK?)"/>
    <m/>
    <n v="16"/>
    <n v="2"/>
    <n v="0.1"/>
  </r>
  <r>
    <x v="1"/>
    <s v="LAMBDA/DYNAMODB/COGNITO"/>
    <x v="0"/>
    <s v="TODOS"/>
    <s v="REGISTRO"/>
    <s v="POST"/>
    <m/>
    <s v="/api/v1/register?type=admin"/>
    <s v="Servicio para registro de admin: correo, codigoactivacion"/>
    <m/>
    <n v="24"/>
    <n v="3"/>
    <n v="0.15"/>
  </r>
  <r>
    <x v="1"/>
    <s v="LAMBDA/DYNAMODB/COGNITO"/>
    <x v="0"/>
    <s v="TODOS"/>
    <s v="REGISTRO"/>
    <s v="POST"/>
    <m/>
    <s v="/api/v1/register/submit?type=admin"/>
    <s v="Servicio para registro de admin: codigo de confirmacion, pw, cpw"/>
    <m/>
    <n v="8"/>
    <n v="1"/>
    <n v="0.05"/>
  </r>
  <r>
    <x v="1"/>
    <s v="LAMBDA/COGNITO"/>
    <x v="0"/>
    <s v="TODOS"/>
    <s v="LOGIN"/>
    <s v="POST"/>
    <m/>
    <s v="/api/v1/login?type=admin"/>
    <s v="Servicio para login, lambda que se comunica con cognito, obtiene perfil, permisos, menus"/>
    <m/>
    <n v="24"/>
    <n v="3"/>
    <n v="0.15"/>
  </r>
  <r>
    <x v="1"/>
    <s v="LAMBDA/COGNITO"/>
    <x v="0"/>
    <s v="TODOS"/>
    <s v="CERRAR SESION"/>
    <s v="GET"/>
    <m/>
    <s v="/api/v1/logout?type=admin"/>
    <s v="Servicio para cerrar sesion, lambda que se comunica con cognito"/>
    <m/>
    <n v="4"/>
    <n v="0.5"/>
    <n v="2.5000000000000001E-2"/>
  </r>
  <r>
    <x v="1"/>
    <s v="LAMBDA/COGNITO"/>
    <x v="0"/>
    <s v="TODOS"/>
    <s v="RECUPERACION"/>
    <s v="POST"/>
    <m/>
    <s v="/api/v1/recover?type=admin"/>
    <s v="Servicio para recuperacion: email"/>
    <m/>
    <n v="8"/>
    <n v="1"/>
    <n v="0.05"/>
  </r>
  <r>
    <x v="1"/>
    <s v="LAMBDA/COGNITO"/>
    <x v="0"/>
    <s v="TODOS"/>
    <s v="RECUPERACION"/>
    <s v="POST"/>
    <m/>
    <s v="/api/v1/recover/submit?type=admin"/>
    <s v="Servicio para reuperacion: codigo de confirmacion, pw, cpw"/>
    <m/>
    <n v="4"/>
    <n v="0.5"/>
    <n v="2.5000000000000001E-2"/>
  </r>
  <r>
    <x v="1"/>
    <s v="LAMBDA/COGNITO"/>
    <x v="0"/>
    <s v="TODOS"/>
    <s v="CAMBIO PW"/>
    <s v="POST"/>
    <m/>
    <s v="/api/v1/password/change?type=admin"/>
    <s v="Servicio para actualizar contraseña"/>
    <m/>
    <n v="8"/>
    <n v="1"/>
    <n v="0.05"/>
  </r>
  <r>
    <x v="1"/>
    <s v="LAMBDA/DYNAMODB"/>
    <x v="0"/>
    <s v="TODOS"/>
    <s v="SELECCIÓN EMPRESA"/>
    <s v="GET"/>
    <m/>
    <s v="/api/v1/admin/companies"/>
    <s v="Servicio para obtener las empresas a las tiene acceso el adminsitrador"/>
    <m/>
    <n v="8"/>
    <n v="1"/>
    <n v="0.05"/>
  </r>
  <r>
    <x v="1"/>
    <s v=".NET"/>
    <x v="0"/>
    <s v="TODOS"/>
    <s v="SELECCIÓN EMPRESA"/>
    <s v="GET"/>
    <m/>
    <s v="/api/v1/admin/companies"/>
    <s v="Servicio para obtener las empresas a las tiene acceso el adminsitrador"/>
    <m/>
    <n v="8"/>
    <n v="1"/>
    <n v="0.05"/>
  </r>
  <r>
    <x v="1"/>
    <s v="LAMBDA/DYNAMODB/.NET"/>
    <x v="0"/>
    <s v="TODOS"/>
    <s v="EMPRESA: DASHBOARD"/>
    <s v="POST"/>
    <m/>
    <s v="/api/v1/admin/company/dashboard?"/>
    <s v="Servicio para obtener resumen dashboard de una empresa"/>
    <n v="1"/>
    <n v="8"/>
    <n v="1"/>
    <n v="0.05"/>
  </r>
  <r>
    <x v="1"/>
    <s v="LAMBDA/DYNAMODB"/>
    <x v="0"/>
    <s v="TODOS"/>
    <s v="EMPRESA: PARTICIPANTES"/>
    <s v="GET"/>
    <m/>
    <s v="/api/v1/admin/company/persons?"/>
    <s v="Servicio para consultar participantes de una empresa y sus estatus de activacion; considerar paginacion (10x10)"/>
    <m/>
    <n v="16"/>
    <n v="2"/>
    <n v="0.1"/>
  </r>
  <r>
    <x v="1"/>
    <s v=".NET"/>
    <x v="0"/>
    <s v="TODOS"/>
    <s v="EMPRESA: PARTICIPANTES"/>
    <s v="GET"/>
    <m/>
    <s v="/api/v1/admin/company/persons?"/>
    <s v="Servicio para consultar participantes de una empresa y sus estatus de activacion"/>
    <m/>
    <n v="8"/>
    <n v="1"/>
    <n v="0.05"/>
  </r>
  <r>
    <x v="1"/>
    <s v="LAMBDA/DYNAMODB"/>
    <x v="0"/>
    <s v="TODOS"/>
    <s v="EMPRESA: PARTICIPANTES"/>
    <s v="POST"/>
    <m/>
    <s v="/api/v1/admin/company/persons/activate?"/>
    <s v="Servicio para activar participantes de manera masiva, y lanzar correo de activacion"/>
    <m/>
    <n v="24"/>
    <n v="3"/>
    <n v="0.15"/>
  </r>
  <r>
    <x v="1"/>
    <s v="LAMBDA/DYNAMODB"/>
    <x v="0"/>
    <s v="TODOS"/>
    <s v="EMPRESA: PARTICIPANTES"/>
    <s v="POST"/>
    <m/>
    <s v="/api/v1/admin/company/person/activate?"/>
    <s v="Servicio para activar participantes de manera individual, y lanzar correo de activacion"/>
    <m/>
    <n v="8"/>
    <n v="1"/>
    <n v="0.05"/>
  </r>
  <r>
    <x v="1"/>
    <s v="LAMBDA/DYNAMODB"/>
    <x v="0"/>
    <s v="TODOS"/>
    <s v="EMPRESA: PARTICIPANTES"/>
    <s v="PUT"/>
    <m/>
    <s v="/api/v1/admin/company/person?"/>
    <s v="Servicio para actualizar participante de manera individual: bloqueo, inactivar"/>
    <m/>
    <n v="8"/>
    <n v="1"/>
    <n v="0.05"/>
  </r>
  <r>
    <x v="1"/>
    <s v="LAMBDA/DYNAMODB"/>
    <x v="0"/>
    <s v="SISTEMAS/VECTOR"/>
    <s v="EMPRESA: SERVICIOS"/>
    <s v="GET"/>
    <m/>
    <s v="/api/v1/admin/company/services?"/>
    <s v="Servicio para obtener los servicios de la empresa"/>
    <n v="1"/>
    <n v="8"/>
    <n v="1"/>
    <n v="0.05"/>
  </r>
  <r>
    <x v="1"/>
    <s v="LAMBDA/DYNAMODB"/>
    <x v="0"/>
    <s v="SISTEMAS/VECTOR"/>
    <s v="EMPRESA: SERVICIOS"/>
    <s v="PUT"/>
    <m/>
    <s v="/api/v1/admin/company/service?"/>
    <s v="Servicio para ACTIVAR O DESACTIVAR serviciio de la empresa"/>
    <n v="1"/>
    <n v="4"/>
    <n v="0.5"/>
    <n v="2.5000000000000001E-2"/>
  </r>
  <r>
    <x v="1"/>
    <s v="LAMBDA/DYNAMODB"/>
    <x v="0"/>
    <s v="TODOS"/>
    <s v="EMPRESA: CONFIGURACION: PARAMETROS"/>
    <s v="GET"/>
    <m/>
    <s v="/api/v1/admin/company/config/params?"/>
    <s v="Servicio para obtener la configuracion de la empresa: aviso, mensaje, bloqueo, etc"/>
    <m/>
    <n v="8"/>
    <n v="1"/>
    <n v="0.05"/>
  </r>
  <r>
    <x v="1"/>
    <s v="LAMBDA/DYNAMODB"/>
    <x v="0"/>
    <s v="TODOS"/>
    <s v="EMPRESA: CONFIGURACION: PARAMETROS"/>
    <s v="POST"/>
    <m/>
    <s v="/api/v1/admin/company/config/params?"/>
    <s v="Servicio para actualizar la configuracion de la empresa: aviso, mensaje, bloqueo, etc"/>
    <m/>
    <n v="4"/>
    <n v="0.5"/>
    <n v="2.5000000000000001E-2"/>
  </r>
  <r>
    <x v="1"/>
    <s v="LAMBDA/DYNAMODB"/>
    <x v="0"/>
    <s v="TODOS"/>
    <s v="EMPRESA: CONFIGURACION: LOOKANDFEEL"/>
    <s v="GET"/>
    <m/>
    <s v="/api/v1/admin/company/config/lookandfeel?"/>
    <s v="Servicio para obtener la configuracion branding de la empresa"/>
    <m/>
    <n v="8"/>
    <n v="1"/>
    <n v="0.05"/>
  </r>
  <r>
    <x v="1"/>
    <s v="LAMBDA/DYNAMODB"/>
    <x v="0"/>
    <s v="TODOS"/>
    <s v="EMPRESA: CONFIGURACION: LOOKANDFEEL"/>
    <s v="POST"/>
    <m/>
    <s v="/api/v1/admin/company/config/lookandfeel?"/>
    <s v="Servicio para actualizar la configuracion branding de la empresa"/>
    <m/>
    <n v="4"/>
    <n v="0.5"/>
    <n v="2.5000000000000001E-2"/>
  </r>
  <r>
    <x v="2"/>
    <s v="LAMBDA/DYNAMODB"/>
    <x v="0"/>
    <s v="SISTEMAS/VECTOR"/>
    <s v="MODULO GRUPOS DE EMPRESAS"/>
    <s v="GET"/>
    <m/>
    <s v="/api/v1/admin/config/groups?"/>
    <s v="Servicio para obtener los grupos"/>
    <m/>
    <n v="4"/>
    <n v="0.5"/>
    <n v="2.5000000000000001E-2"/>
  </r>
  <r>
    <x v="2"/>
    <s v="LAMBDA/DYNAMODB"/>
    <x v="0"/>
    <s v="SISTEMAS/VECTOR"/>
    <s v="MODULO GRUPOS DE EMPRESAS"/>
    <s v="GET"/>
    <m/>
    <s v="/api/v1/admin/config/group/contracts?"/>
    <s v="Servicio para obtener contratos de un grupo"/>
    <m/>
    <n v="4"/>
    <n v="0.5"/>
    <n v="2.5000000000000001E-2"/>
  </r>
  <r>
    <x v="2"/>
    <s v="LAMBDA/DYNAMODB"/>
    <x v="0"/>
    <s v="SISTEMAS/VECTOR"/>
    <s v="MODULO GRUPOS DE EMPRESAS"/>
    <s v="POST"/>
    <m/>
    <s v="/api/v1/admin/config/group?"/>
    <s v="Servicio para agregar contrato(s) a un grupo de empres"/>
    <m/>
    <n v="8"/>
    <n v="1"/>
    <n v="0.05"/>
  </r>
  <r>
    <x v="2"/>
    <s v="LAMBDA/DYNAMODB"/>
    <x v="0"/>
    <s v="SISTEMAS/VECTOR"/>
    <s v="MODULO GRUPOS DE EMPRESAS"/>
    <s v="PUT"/>
    <m/>
    <s v="/api/v1/admin/config/group?"/>
    <s v="Servicio para actualizar grupo: nombre, activo, bloqueo,etc"/>
    <m/>
    <n v="4"/>
    <n v="0.5"/>
    <n v="2.5000000000000001E-2"/>
  </r>
  <r>
    <x v="2"/>
    <s v="LAMBDA/DYNAMODB"/>
    <x v="0"/>
    <s v="SISTEMAS/VECTOR"/>
    <s v="MODULO ADMINISTRADORES"/>
    <s v="GET"/>
    <m/>
    <s v="/api/v1/admin/config/group/admins?"/>
    <s v="Servicio para obtener Adminsitradores: idadmin, nombre, grupo, contrato"/>
    <m/>
    <n v="8"/>
    <n v="1"/>
    <n v="0.05"/>
  </r>
  <r>
    <x v="2"/>
    <s v="LAMBDA/DYNAMODB"/>
    <x v="0"/>
    <s v="SISTEMAS/VECTOR"/>
    <s v="MODULO ADMINISTRADORES"/>
    <s v="GET"/>
    <m/>
    <s v="/api/v1/admin/config/groups?"/>
    <s v="Servicio para obtener los grupos disponibles"/>
    <m/>
    <n v="4"/>
    <n v="0.5"/>
    <n v="2.5000000000000001E-2"/>
  </r>
  <r>
    <x v="2"/>
    <s v="LAMBDA/DYNAMODB"/>
    <x v="0"/>
    <s v="SISTEMAS/VECTOR"/>
    <s v="MODULO ADMINISTRADORES"/>
    <s v="GET"/>
    <m/>
    <s v="/api/v1/admin/config/group/contracts?"/>
    <s v="Servicio para obtener los contratos de un grupo seleccionado"/>
    <m/>
    <n v="4"/>
    <n v="0.5"/>
    <n v="2.5000000000000001E-2"/>
  </r>
  <r>
    <x v="2"/>
    <s v="LAMBDA/DYNAMODB"/>
    <x v="0"/>
    <s v="SISTEMAS/VECTOR"/>
    <s v="MODULO ADMINISTRADORES"/>
    <s v="POST"/>
    <m/>
    <s v="/api/v1/admin/config/group/admin?"/>
    <s v="Servicio para actualizar administrador-grupo-contrato, enviar codigo de activacion de admin"/>
    <m/>
    <n v="8"/>
    <n v="1"/>
    <n v="0.05"/>
  </r>
  <r>
    <x v="2"/>
    <s v="LAMBDA/DYNAMODB"/>
    <x v="0"/>
    <s v="SISTEMAS/VECTOR"/>
    <s v="MODULO ADMINISTRADORES"/>
    <s v="PUT"/>
    <m/>
    <s v="/api/v1/admin/config/group/admin?"/>
    <s v="Servicio para actualizar administrador: activo, bloqueo,etc"/>
    <m/>
    <n v="4"/>
    <n v="0.5"/>
    <n v="2.5000000000000001E-2"/>
  </r>
  <r>
    <x v="2"/>
    <s v="LAMBDA/DYNAMODB"/>
    <x v="0"/>
    <s v="SISTEMAS/VECTOR"/>
    <s v="MODULO PARAMETROS GLOBAL"/>
    <s v="GET"/>
    <m/>
    <s v="/api/v1/admin/config/params?"/>
    <s v="Servicio para obtener la configuracion global"/>
    <m/>
    <n v="4"/>
    <n v="0.5"/>
    <n v="2.5000000000000001E-2"/>
  </r>
  <r>
    <x v="2"/>
    <s v="LAMBDA/DYNAMODB"/>
    <x v="0"/>
    <s v="SISTEMAS/VECTOR"/>
    <s v="MODULO PARAMETROS GLOBAL"/>
    <s v="POST"/>
    <m/>
    <s v="/api/v1/admin/config/params?"/>
    <s v="Servicio para actualizar la configuracion global"/>
    <m/>
    <n v="4"/>
    <n v="0.5"/>
    <n v="2.5000000000000001E-2"/>
  </r>
  <r>
    <x v="2"/>
    <s v="LAMBDA/DYNAMODB"/>
    <x v="0"/>
    <s v="SISTEMAS/VECTOR"/>
    <s v="CATALOGOS SCRIPTS"/>
    <m/>
    <m/>
    <s v="NA"/>
    <s v="Generar SCRIPT para carga inicial de catalogos X9"/>
    <m/>
    <n v="8"/>
    <n v="1"/>
    <n v="0.05"/>
  </r>
  <r>
    <x v="2"/>
    <s v="LAMBDA/DYNAMODB"/>
    <x v="0"/>
    <s v="SISTEMAS/VECTOR"/>
    <s v="MODULO BITACORA"/>
    <s v="GET"/>
    <m/>
    <s v="/api/v1/admin/bitacora"/>
    <s v="Servicio para obtener registros de bitacora, con filtros de fecha/hora, correo, considerar paginacion (10x10); exportacion"/>
    <n v="1"/>
    <n v="30"/>
    <n v="3.75"/>
    <n v="0.1875"/>
  </r>
  <r>
    <x v="3"/>
    <s v="LAMBDA/DYNAMODB/COGNITO"/>
    <x v="0"/>
    <s v="TODOS"/>
    <s v="REGISTRO CAPTURA"/>
    <s v="POST"/>
    <m/>
    <s v="/api/v1/register?type=person"/>
    <s v="Servicio para registro de participante: correo, codigoactivacion"/>
    <m/>
    <n v="12"/>
    <n v="1.5"/>
    <n v="7.4999999999999997E-2"/>
  </r>
  <r>
    <x v="3"/>
    <s v="LAMBDA/DYNAMODB/COGNITO"/>
    <x v="0"/>
    <s v="TODOS"/>
    <s v="REGISTRO CONFIRMACION"/>
    <s v="POST"/>
    <m/>
    <s v="/api/v1/register/submit?type=person"/>
    <s v="Servicio para registro de participante: codigo de confirmacion, pw, cpw"/>
    <m/>
    <n v="4"/>
    <n v="0.5"/>
    <n v="2.5000000000000001E-2"/>
  </r>
  <r>
    <x v="3"/>
    <s v="LAMBDA/COGNITO"/>
    <x v="0"/>
    <s v="TODOS"/>
    <s v="LOGIN"/>
    <s v="POST"/>
    <m/>
    <s v="/api/v1/login?type=person"/>
    <s v="Servicio para login, lambda que se comunica con cognito, obtiene perfil del usuario, y perfil de la empresa"/>
    <m/>
    <n v="12"/>
    <n v="1.5"/>
    <n v="7.4999999999999997E-2"/>
  </r>
  <r>
    <x v="3"/>
    <s v="LAMBDA/COGNITO"/>
    <x v="0"/>
    <s v="TODOS"/>
    <s v="CERRAR SESION"/>
    <s v="GET"/>
    <m/>
    <s v="/api/v1/logout?type=person"/>
    <s v="Servicio para cerrar sesion, lambda que se comunica con cognito"/>
    <m/>
    <n v="2"/>
    <n v="0.25"/>
    <n v="1.2500000000000001E-2"/>
  </r>
  <r>
    <x v="3"/>
    <s v="LAMBDA/COGNITO"/>
    <x v="0"/>
    <s v="TODOS"/>
    <s v="RECUPERACION: CAPTURA"/>
    <s v="POST"/>
    <m/>
    <s v="/api/v1/recover?type=person"/>
    <s v="Servicio para recuperacion: email"/>
    <m/>
    <n v="4"/>
    <n v="0.5"/>
    <n v="2.5000000000000001E-2"/>
  </r>
  <r>
    <x v="3"/>
    <s v="LAMBDA/COGNITO"/>
    <x v="0"/>
    <s v="TODOS"/>
    <s v="RECUPERACION: CONFIRMACION"/>
    <s v="POST"/>
    <m/>
    <s v="/api/v1/recover/submit?type=person"/>
    <s v="Servicio para reuperacion: codigo de confirmacion, pw, cpw"/>
    <m/>
    <n v="2"/>
    <n v="0.25"/>
    <n v="1.2500000000000001E-2"/>
  </r>
  <r>
    <x v="3"/>
    <s v="LAMBDA/COGNITO"/>
    <x v="0"/>
    <s v="TODOS"/>
    <s v="CAMBIO PW"/>
    <s v="POST"/>
    <m/>
    <s v="/api/v1/password/change?type=person"/>
    <s v="Servicio para actualizar contraseña"/>
    <m/>
    <n v="2"/>
    <n v="0.25"/>
    <n v="1.2500000000000001E-2"/>
  </r>
  <r>
    <x v="3"/>
    <s v="LAMBDA/DYNAMODB"/>
    <x v="0"/>
    <s v="PARTICIPANTE"/>
    <s v="SELECCIÓN EMPRESA"/>
    <s v="GET"/>
    <m/>
    <s v="/api/v1/enduser/sumary/companies?"/>
    <s v="Servicio para obtener resumen de los contratos asociados al participante"/>
    <m/>
    <n v="4"/>
    <n v="0.5"/>
    <n v="2.5000000000000001E-2"/>
  </r>
  <r>
    <x v="3"/>
    <s v="LAMBDA/DYNAMODB"/>
    <x v="0"/>
    <s v="PARTICIPANTE"/>
    <s v="SALDOS"/>
    <s v="GET"/>
    <m/>
    <s v="/api/v1/enduser/balance?"/>
    <s v="Servicio para obtener saldo del participante y meta de ahorro"/>
    <m/>
    <n v="4"/>
    <n v="0.5"/>
    <n v="2.5000000000000001E-2"/>
  </r>
  <r>
    <x v="3"/>
    <s v="LAMBDA/DYNAMODB"/>
    <x v="0"/>
    <s v="PARTICIPANTE"/>
    <s v="META AHORRO"/>
    <s v="POST"/>
    <m/>
    <s v="/api/v1/enduser/goal?"/>
    <s v="Servicio para registrar meta de ahorro del participante"/>
    <m/>
    <n v="4"/>
    <n v="0.5"/>
    <n v="2.5000000000000001E-2"/>
  </r>
  <r>
    <x v="3"/>
    <s v="LAMBDA/DYNAMODB"/>
    <x v="0"/>
    <s v="PARTICIPANTE"/>
    <s v="RESUMEN MOVS"/>
    <s v="GET"/>
    <m/>
    <s v="/api/v1/enduser/movs/sumary?"/>
    <s v="Servicio para obtener resumen de movimientos"/>
    <m/>
    <n v="4"/>
    <n v="0.5"/>
    <n v="2.5000000000000001E-2"/>
  </r>
  <r>
    <x v="3"/>
    <s v="LAMBDA/DYNAMODB"/>
    <x v="0"/>
    <s v="PARTICIPANTE"/>
    <s v="DETALLE MOVS"/>
    <s v="GET"/>
    <m/>
    <s v="/api/v1/enduser/movs/detail?"/>
    <s v="Servicio para obtener DETALLE de movimientos"/>
    <m/>
    <n v="4"/>
    <n v="0.5"/>
    <n v="2.5000000000000001E-2"/>
  </r>
  <r>
    <x v="3"/>
    <s v="LAMBDA/DYNAMODB"/>
    <x v="0"/>
    <s v="PARTICIPANTE"/>
    <s v="RESUMEN PRESTAMOS"/>
    <s v="GET"/>
    <m/>
    <s v="/api/v1/enduser/loans/sumary?"/>
    <s v="Servicio para obtener RESUMEN de prestamos"/>
    <m/>
    <n v="4"/>
    <n v="0.5"/>
    <n v="2.5000000000000001E-2"/>
  </r>
  <r>
    <x v="3"/>
    <s v="LAMBDA/DYNAMODB"/>
    <x v="0"/>
    <s v="PARTICIPANTE"/>
    <s v="DETALLE PRESTAMOS"/>
    <s v="GET"/>
    <m/>
    <s v="/api/v1/enduser/loans/detail?"/>
    <s v="Servicio para obtener DETALLE de prestamos"/>
    <m/>
    <n v="4"/>
    <n v="0.5"/>
    <n v="2.5000000000000001E-2"/>
  </r>
  <r>
    <x v="3"/>
    <s v="LAMBDA/DYNAMODB"/>
    <x v="0"/>
    <s v="PARTICIPANTE"/>
    <s v="HISTORICO MOVS"/>
    <s v="GET"/>
    <m/>
    <s v="/api/v1/enduser/movs/history/{year}/{month}"/>
    <s v="Servicio para obtener meses disponibles de resumen de movs"/>
    <m/>
    <n v="4"/>
    <n v="0.5"/>
    <n v="2.5000000000000001E-2"/>
  </r>
  <r>
    <x v="3"/>
    <s v="LAMBDA/DYNAMODB"/>
    <x v="0"/>
    <s v="PARTICIPANTE"/>
    <s v="DESCARGAR DE HISTORICO"/>
    <s v="GET"/>
    <m/>
    <s v="/api/v1/enduser/movs/history/download/{year}/{month}"/>
    <s v="Servicio para obtener generar y descargar pdf de resumen de movs"/>
    <m/>
    <n v="24"/>
    <n v="3"/>
    <n v="0.15"/>
  </r>
  <r>
    <x v="3"/>
    <s v="LAMBDA/DYNAMODB"/>
    <x v="0"/>
    <s v="PARTICIPANTE"/>
    <s v="PRESTAMOS"/>
    <s v="GET "/>
    <m/>
    <s v="/api/v1/enduser/loan/request?"/>
    <s v="Servicio para obtener datos de la captura de pantalla, parametros; mostrar si hay un prestamo por autorizar y el monto"/>
    <m/>
    <n v="4"/>
    <n v="0.5"/>
    <n v="2.5000000000000001E-2"/>
  </r>
  <r>
    <x v="3"/>
    <s v="LAMBDA/DYNAMODB"/>
    <x v="0"/>
    <s v="PARTICIPANTE"/>
    <s v="PRESTAMOS"/>
    <s v="POST"/>
    <m/>
    <s v="/api/v1/enduser/loan/request/simulate?"/>
    <s v="Servicio para simular el prestamo, llevar los calculos a la nube, conf tablas de amort"/>
    <m/>
    <n v="24"/>
    <n v="3"/>
    <n v="0.15"/>
  </r>
  <r>
    <x v="3"/>
    <s v="LAMBDA/SQS"/>
    <x v="0"/>
    <s v="PARTICIPANTE"/>
    <s v="PRESTAMOS"/>
    <s v="POST"/>
    <m/>
    <s v="/api/v1/enduser/loan/request/submit?"/>
    <s v="Servicio para solicitar el prestamos,  se valida que no exista un prestamo activo"/>
    <m/>
    <n v="4"/>
    <n v="0.5"/>
    <n v="2.5000000000000001E-2"/>
  </r>
  <r>
    <x v="3"/>
    <s v=".NET"/>
    <x v="0"/>
    <s v="PARTICIPANTE"/>
    <s v="PRESTAMOS"/>
    <s v="POST"/>
    <m/>
    <s v="/api/v1/enduser/loan/request/submit?"/>
    <s v="Servicio para solicitar el prestamos,  se valida que no exista un prestamo activo"/>
    <m/>
    <n v="24"/>
    <n v="3"/>
    <n v="0.15"/>
  </r>
  <r>
    <x v="3"/>
    <s v="LAMBDA/SQS/"/>
    <x v="0"/>
    <s v="PARTICIPANTE"/>
    <s v="PRESTAMOS"/>
    <s v="DELETE"/>
    <m/>
    <s v="/api/v1/enduser/loan/request/{idprest}"/>
    <s v="Servicio para cancelar un prestamo"/>
    <m/>
    <n v="4"/>
    <n v="0.5"/>
    <n v="2.5000000000000001E-2"/>
  </r>
  <r>
    <x v="3"/>
    <s v=".NET"/>
    <x v="0"/>
    <s v="PARTICIPANTE"/>
    <s v="PRESTAMOS"/>
    <s v="DELETE"/>
    <m/>
    <s v="/api/v1/enduser/loan/request/{idprest}"/>
    <s v="Servicio para cancelar un prestamo"/>
    <m/>
    <n v="8"/>
    <n v="1"/>
    <n v="0.05"/>
  </r>
  <r>
    <x v="3"/>
    <s v="LAMBDA/DYNAMODB"/>
    <x v="0"/>
    <s v="PARTICIPANTE"/>
    <s v="RETIROS"/>
    <s v="GET "/>
    <m/>
    <s v="/api/v1/enduser/withdrawal?"/>
    <s v="Servicio para obtener datos de la captura de pantalla, parametros;  retiros con estatus de &quot;en revision&quot;; La lambda debe de encolar la peticion en SQS; actualizar banderaes en DynamoDB"/>
    <m/>
    <n v="4"/>
    <n v="0.5"/>
    <n v="2.5000000000000001E-2"/>
  </r>
  <r>
    <x v="3"/>
    <s v="LAMBDA/SQS"/>
    <x v="0"/>
    <s v="PARTICIPANTE"/>
    <s v="RETIROS"/>
    <s v="POST"/>
    <m/>
    <s v="/api/v1/enduser/withdrawal?"/>
    <s v="Servicio para solicitar el retiro del participante"/>
    <m/>
    <n v="4"/>
    <n v="0.5"/>
    <n v="2.5000000000000001E-2"/>
  </r>
  <r>
    <x v="3"/>
    <s v=".NET"/>
    <x v="0"/>
    <s v="PARTICIPANTE"/>
    <s v="RETIROS"/>
    <s v="POST"/>
    <m/>
    <s v="/api/v1/enduser/withdrawal?"/>
    <s v="Servicio para solicitar el retiro del participante"/>
    <m/>
    <n v="24"/>
    <n v="3"/>
    <n v="0.15"/>
  </r>
  <r>
    <x v="3"/>
    <s v="LAMBDA/.NET"/>
    <x v="0"/>
    <s v="PARTICIPANTE"/>
    <s v="RETIROS"/>
    <s v="DELETE"/>
    <m/>
    <s v="/api/v1/enduser/withdrawal/{idretiro}"/>
    <s v="Servico para cancelar un retiro, solo permitir modificar en estatus &quot;en revision&quot;"/>
    <m/>
    <n v="8"/>
    <n v="1"/>
    <n v="0.05"/>
  </r>
  <r>
    <x v="1"/>
    <s v="REACT"/>
    <x v="2"/>
    <s v="TODOS"/>
    <s v="REGISTRO"/>
    <m/>
    <m/>
    <m/>
    <s v="Pantalla para registro de admin: registro y confirmacion "/>
    <m/>
    <n v="8"/>
    <n v="1"/>
    <n v="0.05"/>
  </r>
  <r>
    <x v="1"/>
    <s v="REACT"/>
    <x v="2"/>
    <s v="TODOS"/>
    <s v="LOGIN"/>
    <m/>
    <m/>
    <m/>
    <s v="Pantalla para realizar login, obtener token de sesion y perfil "/>
    <m/>
    <n v="8"/>
    <n v="1"/>
    <n v="0.05"/>
  </r>
  <r>
    <x v="1"/>
    <s v="REACT"/>
    <x v="2"/>
    <s v="TODOS"/>
    <s v="RECUPERACION"/>
    <m/>
    <m/>
    <m/>
    <s v="Pantalla para relizar recuperacion de contraseña, captura"/>
    <m/>
    <n v="8"/>
    <n v="1"/>
    <n v="0.05"/>
  </r>
  <r>
    <x v="1"/>
    <s v="REACT"/>
    <x v="2"/>
    <s v="TODOS"/>
    <s v="GENERAL"/>
    <m/>
    <m/>
    <m/>
    <s v="Manejo expiracion de sesion"/>
    <m/>
    <n v="16"/>
    <n v="2"/>
    <n v="0.1"/>
  </r>
  <r>
    <x v="1"/>
    <s v="REACT"/>
    <x v="2"/>
    <s v="TODOS"/>
    <s v="GENERAL"/>
    <m/>
    <m/>
    <m/>
    <s v="Pantalla para presentar Mensaje Popup Aviso"/>
    <n v="1"/>
    <n v="4"/>
    <n v="0.5"/>
    <n v="2.5000000000000001E-2"/>
  </r>
  <r>
    <x v="1"/>
    <s v="REACT"/>
    <x v="2"/>
    <s v="TODOS"/>
    <s v="GENERAL"/>
    <m/>
    <m/>
    <m/>
    <s v="Banner Texto en la parte superior"/>
    <n v="1"/>
    <n v="4"/>
    <n v="0.5"/>
    <n v="2.5000000000000001E-2"/>
  </r>
  <r>
    <x v="1"/>
    <s v="REACT"/>
    <x v="2"/>
    <s v="TODOS"/>
    <s v="GEOLOCALIZACION"/>
    <m/>
    <m/>
    <m/>
    <s v="Pantalla para soliictar permiso y obtener geolocalizacion del usuario"/>
    <n v="1"/>
    <n v="16"/>
    <n v="2"/>
    <n v="0.1"/>
  </r>
  <r>
    <x v="1"/>
    <s v="REACT"/>
    <x v="2"/>
    <s v="TODOS"/>
    <s v="CAMBIO PW"/>
    <m/>
    <m/>
    <m/>
    <s v="Pantalla para realizar cambio de contraseña, revisar tema de password expirado cognito"/>
    <m/>
    <n v="8"/>
    <n v="1"/>
    <n v="0.05"/>
  </r>
  <r>
    <x v="1"/>
    <s v="REACT"/>
    <x v="2"/>
    <s v="TODOS"/>
    <s v="SELECCIÓN EMPRESA"/>
    <m/>
    <m/>
    <m/>
    <s v="Pantalla para selección de empresa a las tiene acceso el adminsitrador"/>
    <m/>
    <n v="8"/>
    <n v="1"/>
    <n v="0.05"/>
  </r>
  <r>
    <x v="1"/>
    <s v="REACT"/>
    <x v="2"/>
    <s v="TODOS"/>
    <s v="MENU LATERAL"/>
    <m/>
    <m/>
    <m/>
    <s v="Opcion para realizar cambio de contraseña/cierre sesion"/>
    <m/>
    <n v="8"/>
    <n v="1"/>
    <n v="0.05"/>
  </r>
  <r>
    <x v="1"/>
    <s v="REACT"/>
    <x v="2"/>
    <s v="TODOS"/>
    <s v="MENU LATERAL"/>
    <m/>
    <m/>
    <m/>
    <s v="Presentar opciones del menu en base al perfil y empresa seleccionada, icono empresa"/>
    <m/>
    <n v="4"/>
    <n v="0.5"/>
    <n v="2.5000000000000001E-2"/>
  </r>
  <r>
    <x v="1"/>
    <s v="REACT"/>
    <x v="2"/>
    <s v="TODOS"/>
    <s v="EMPRESA: DASHBOARD"/>
    <m/>
    <m/>
    <m/>
    <s v="Patnalla para presentar resumen dashboard de una empresa"/>
    <n v="1"/>
    <n v="8"/>
    <n v="1"/>
    <n v="0.05"/>
  </r>
  <r>
    <x v="1"/>
    <s v="REACT"/>
    <x v="2"/>
    <s v="TODOS"/>
    <s v="EMPRESA: PARTICIPANTES"/>
    <m/>
    <m/>
    <m/>
    <s v="Pantalla para consultar participantes de una empresa y sus estatus de activacion"/>
    <m/>
    <n v="8"/>
    <n v="1"/>
    <n v="0.05"/>
  </r>
  <r>
    <x v="1"/>
    <s v="REACT"/>
    <x v="2"/>
    <s v="TODOS"/>
    <s v="EMPRESA: PARTICIPANTES"/>
    <m/>
    <m/>
    <m/>
    <s v="Pantalla para activar participantes de manera masiva"/>
    <m/>
    <n v="24"/>
    <n v="3"/>
    <n v="0.15"/>
  </r>
  <r>
    <x v="1"/>
    <s v="REACT"/>
    <x v="2"/>
    <s v="TODOS"/>
    <s v="EMPRESA: PARTICIPANTES"/>
    <m/>
    <m/>
    <m/>
    <s v="Pantalla para activar participantes de manera individual"/>
    <m/>
    <n v="16"/>
    <n v="2"/>
    <n v="0.1"/>
  </r>
  <r>
    <x v="1"/>
    <s v="REACT"/>
    <x v="2"/>
    <s v="TODOS"/>
    <s v="EMPRESA: PARTICIPANTES"/>
    <m/>
    <m/>
    <m/>
    <s v="Pantalla para actualizar participante de manera individual: bloqueo, inactivar"/>
    <m/>
    <n v="8"/>
    <n v="1"/>
    <n v="0.05"/>
  </r>
  <r>
    <x v="1"/>
    <s v="REACT"/>
    <x v="2"/>
    <s v="SISTEMAS/VECTOR"/>
    <s v="EMPRESA: SERVICIOS"/>
    <m/>
    <m/>
    <m/>
    <s v="Pantalla para obtener los servicios de la empresa"/>
    <n v="1"/>
    <n v="4"/>
    <n v="0.5"/>
    <n v="2.5000000000000001E-2"/>
  </r>
  <r>
    <x v="1"/>
    <s v="REACT"/>
    <x v="2"/>
    <s v="SISTEMAS/VECTOR"/>
    <s v="EMPRESA: SERVICIOS"/>
    <m/>
    <m/>
    <m/>
    <s v="Pantalla para ACTIVAR O DESACTIVAR serviciio de la empresa"/>
    <n v="1"/>
    <n v="4"/>
    <n v="0.5"/>
    <n v="2.5000000000000001E-2"/>
  </r>
  <r>
    <x v="1"/>
    <s v="REACT"/>
    <x v="2"/>
    <s v="TODOS"/>
    <s v="EMPRESA: CONFIGURACION: PARAMETROS"/>
    <m/>
    <m/>
    <m/>
    <s v="Pantalla para presentar y actualizar la configuracion de la empresa: mensaje, aviso, bloqueo, etc"/>
    <m/>
    <n v="8"/>
    <n v="1"/>
    <n v="0.05"/>
  </r>
  <r>
    <x v="1"/>
    <s v="REACT"/>
    <x v="2"/>
    <s v="TODOS"/>
    <s v="EMPRESA: CONFIGURACION: LOOKANDFEEL"/>
    <m/>
    <m/>
    <m/>
    <s v="Pantalla para presentar y actualizar la configuracion branding de la empresa"/>
    <m/>
    <n v="8"/>
    <n v="1"/>
    <n v="0.05"/>
  </r>
  <r>
    <x v="1"/>
    <s v="REACT"/>
    <x v="2"/>
    <s v="NA"/>
    <s v="GENERAL"/>
    <m/>
    <m/>
    <m/>
    <s v="Configuracion de Proyecto REACT, git repositories"/>
    <m/>
    <n v="8"/>
    <n v="1"/>
    <n v="0.05"/>
  </r>
  <r>
    <x v="1"/>
    <s v="REACT"/>
    <x v="2"/>
    <s v="NA"/>
    <s v="GENERAL"/>
    <m/>
    <m/>
    <m/>
    <s v="Configuracion de proyecto amplify pipilines DEV/QA/PROD vs Git"/>
    <m/>
    <n v="8"/>
    <n v="1"/>
    <n v="0.05"/>
  </r>
  <r>
    <x v="1"/>
    <s v="REACT"/>
    <x v="2"/>
    <s v="NA"/>
    <s v="GENERAL"/>
    <m/>
    <m/>
    <m/>
    <s v="Configuracion base de servicios .env, Sagas, manejor de sesion JWT, resonsehandle, etc"/>
    <m/>
    <n v="40"/>
    <n v="5"/>
    <n v="0.25"/>
  </r>
  <r>
    <x v="1"/>
    <s v="REACT"/>
    <x v="2"/>
    <s v="NA"/>
    <s v="GENERAL"/>
    <m/>
    <m/>
    <m/>
    <s v="Configuracion de HOST domain: DEV/QA/PROD"/>
    <m/>
    <n v="16"/>
    <n v="2"/>
    <n v="0.1"/>
  </r>
  <r>
    <x v="2"/>
    <s v=".NET GRAFICO"/>
    <x v="2"/>
    <s v="SISTEMAS/VECTOR"/>
    <s v="MODULO CATALOGO DE GRUPOS"/>
    <m/>
    <m/>
    <m/>
    <s v="Modulo para AGREGAR grupo de contratos"/>
    <m/>
    <n v="4"/>
    <n v="0.5"/>
    <n v="2.5000000000000001E-2"/>
  </r>
  <r>
    <x v="2"/>
    <s v=".NET GRAFICO"/>
    <x v="2"/>
    <s v="SISTEMAS/VECTOR"/>
    <s v="MODULO CATALOGO DE GRUPOS"/>
    <m/>
    <m/>
    <m/>
    <s v="Modulo para relacionar contratos a Grupos de Empresas"/>
    <m/>
    <n v="4"/>
    <n v="0.5"/>
    <n v="2.5000000000000001E-2"/>
  </r>
  <r>
    <x v="2"/>
    <s v=".NET GRAFICO"/>
    <x v="2"/>
    <s v="SISTEMAS/VECTOR"/>
    <s v="MODULO ADMINISTRADORES"/>
    <m/>
    <m/>
    <m/>
    <s v="Modulo para asignar administradores a una grupo y/o contrato"/>
    <m/>
    <n v="4"/>
    <n v="0.5"/>
    <n v="2.5000000000000001E-2"/>
  </r>
  <r>
    <x v="2"/>
    <s v=".NET GRAFICO"/>
    <x v="2"/>
    <s v="SISTEMAS/VECTOR"/>
    <s v="MODULO ADMINISTRADORES"/>
    <m/>
    <m/>
    <m/>
    <s v="Pantalla para actualizar adminsitradores de manera individual: bloqueo, inactivar"/>
    <m/>
    <n v="8"/>
    <n v="1"/>
    <n v="0.05"/>
  </r>
  <r>
    <x v="2"/>
    <s v=".NET GRAFICO"/>
    <x v="2"/>
    <s v="SISTEMAS/VECTOR"/>
    <s v="MODULO PARAMETROS"/>
    <m/>
    <m/>
    <m/>
    <s v="Modulo bloquear acceso y colocar mensaje, banner o aviso"/>
    <m/>
    <n v="8"/>
    <n v="1"/>
    <n v="0.05"/>
  </r>
  <r>
    <x v="2"/>
    <s v=".NET GRAFICO"/>
    <x v="2"/>
    <s v="SISTEMAS/VECTOR"/>
    <s v="MODULO BITACORA"/>
    <m/>
    <m/>
    <m/>
    <s v="Pantalla para presentar bitacora de acceso, con paginacion (10x10) y filtros "/>
    <n v="1"/>
    <n v="16"/>
    <n v="2"/>
    <n v="0.1"/>
  </r>
  <r>
    <x v="3"/>
    <s v="REACT NATIVE"/>
    <x v="2"/>
    <s v="NA"/>
    <s v="GENERAL"/>
    <m/>
    <m/>
    <m/>
    <s v="Configuracion base de servicios .env, Sagas, manejor de sesion JWT, resonsehandle, etc"/>
    <m/>
    <n v="40"/>
    <n v="5"/>
    <n v="0.25"/>
  </r>
  <r>
    <x v="3"/>
    <s v="REACT NATIVE"/>
    <x v="2"/>
    <s v="PARTICIPANTE"/>
    <s v="REGISTRO"/>
    <m/>
    <m/>
    <m/>
    <s v="Pantalla para registro de admin: registro y confirmacion"/>
    <m/>
    <n v="8"/>
    <n v="1"/>
    <n v="0.05"/>
  </r>
  <r>
    <x v="3"/>
    <s v="REACT NATIVE"/>
    <x v="2"/>
    <s v="PARTICIPANTE"/>
    <s v="LOGIN"/>
    <m/>
    <m/>
    <m/>
    <s v="Pantalla para realizar login, obtener token de sesion y perfil "/>
    <m/>
    <n v="8"/>
    <n v="1"/>
    <n v="0.05"/>
  </r>
  <r>
    <x v="3"/>
    <s v="REACT NATIVE"/>
    <x v="2"/>
    <s v="PARTICIPANTE"/>
    <s v="RECUPERACION"/>
    <m/>
    <m/>
    <m/>
    <s v="Pantalla para relizar recuperacion de contraseña, captura"/>
    <m/>
    <n v="8"/>
    <n v="1"/>
    <n v="0.05"/>
  </r>
  <r>
    <x v="3"/>
    <s v="REACT NATIVE"/>
    <x v="2"/>
    <s v="PARTICIPANTE"/>
    <s v="GENERAL"/>
    <m/>
    <m/>
    <m/>
    <s v="Manejo expiracion de sesion"/>
    <m/>
    <n v="16"/>
    <n v="2"/>
    <n v="0.1"/>
  </r>
  <r>
    <x v="3"/>
    <s v="REACT NATIVE"/>
    <x v="2"/>
    <s v="PARTICIPANTE"/>
    <s v="GENERAL"/>
    <m/>
    <m/>
    <m/>
    <s v="Opcion para forzar actualizacion de app, por version vigente"/>
    <m/>
    <n v="8"/>
    <n v="1"/>
    <n v="0.05"/>
  </r>
  <r>
    <x v="3"/>
    <s v="REACT NATIVE"/>
    <x v="2"/>
    <s v="PARTICIPANTE"/>
    <s v="GENERAL"/>
    <m/>
    <m/>
    <m/>
    <s v="Opcion para presentar Mensaje Popup Aviso"/>
    <m/>
    <n v="4"/>
    <n v="0.5"/>
    <n v="2.5000000000000001E-2"/>
  </r>
  <r>
    <x v="3"/>
    <s v="REACT NATIVE"/>
    <x v="2"/>
    <s v="PARTICIPANTE"/>
    <s v="GENERAL"/>
    <m/>
    <m/>
    <m/>
    <s v="Banner Texto en la parte superior"/>
    <m/>
    <n v="4"/>
    <n v="0.5"/>
    <n v="2.5000000000000001E-2"/>
  </r>
  <r>
    <x v="3"/>
    <s v="REACT NATIVE"/>
    <x v="2"/>
    <s v="PARTICIPANTE"/>
    <s v="GENERAL"/>
    <m/>
    <m/>
    <m/>
    <s v="Aplicar branding de empresa (styles e icono empresa) en base al perfil"/>
    <m/>
    <n v="32"/>
    <n v="4"/>
    <n v="0.2"/>
  </r>
  <r>
    <x v="3"/>
    <s v="REACT NATIVE"/>
    <x v="2"/>
    <s v="PARTICIPANTE"/>
    <s v="GENERAL"/>
    <m/>
    <m/>
    <m/>
    <s v="Presentar opciones de menu en base a perfil de usuario"/>
    <m/>
    <n v="4"/>
    <n v="0.5"/>
    <n v="2.5000000000000001E-2"/>
  </r>
  <r>
    <x v="3"/>
    <s v="REACT NATIVE"/>
    <x v="2"/>
    <s v="PARTICIPANTE"/>
    <s v="GEOLOCALIZACION"/>
    <m/>
    <m/>
    <m/>
    <s v="Pantalla para soliictar permiso y obtener geolocalizacion del usuario"/>
    <m/>
    <n v="16"/>
    <n v="2"/>
    <n v="0.1"/>
  </r>
  <r>
    <x v="3"/>
    <s v="REACT NATIVE"/>
    <x v="2"/>
    <s v="PARTICIPANTE"/>
    <s v="CAMBIO PW"/>
    <m/>
    <m/>
    <m/>
    <s v="Pantalla para realizar cambio de contraseña, revisar tema de password expirado cognito"/>
    <m/>
    <n v="8"/>
    <n v="1"/>
    <n v="0.05"/>
  </r>
  <r>
    <x v="3"/>
    <s v="REACT NATIVE"/>
    <x v="2"/>
    <s v="PARTICIPANTE"/>
    <s v="SELECCIÓN EMPRESA"/>
    <m/>
    <m/>
    <m/>
    <s v="Pantalla para presentar los contratos asociados al participante y selección "/>
    <m/>
    <n v="8"/>
    <n v="1"/>
    <n v="0.05"/>
  </r>
  <r>
    <x v="3"/>
    <s v="REACT NATIVE"/>
    <x v="2"/>
    <s v="PARTICIPANTE"/>
    <s v="MENU LATERAL O TABS"/>
    <m/>
    <m/>
    <m/>
    <s v="Presentar opciones del menu en base al perfil y empresa seleccionada"/>
    <m/>
    <n v="8"/>
    <n v="1"/>
    <n v="0.05"/>
  </r>
  <r>
    <x v="3"/>
    <s v="REACT NATIVE"/>
    <x v="2"/>
    <s v="PARTICIPANTE"/>
    <s v="MENU LATERAL O TABS"/>
    <m/>
    <m/>
    <m/>
    <s v="Opcion para realizar cambio de contraseña/cierre sesion"/>
    <m/>
    <n v="8"/>
    <n v="1"/>
    <n v="0.05"/>
  </r>
  <r>
    <x v="3"/>
    <s v="REACT NATIVE"/>
    <x v="2"/>
    <s v="PARTICIPANTE"/>
    <s v="MENU LATERAL O TABS"/>
    <m/>
    <m/>
    <m/>
    <s v="Opcion para pantalla de Acerca de y ayuda"/>
    <m/>
    <n v="4"/>
    <n v="0.5"/>
    <n v="2.5000000000000001E-2"/>
  </r>
  <r>
    <x v="3"/>
    <s v="REACT NATIVE"/>
    <x v="2"/>
    <s v="PARTICIPANTE"/>
    <s v="PRINCIPAL: SALDOS"/>
    <m/>
    <m/>
    <m/>
    <s v="Seccion en pantalla principal para presentar saldo del participante y meta de ahorro"/>
    <m/>
    <n v="4"/>
    <n v="0.5"/>
    <n v="2.5000000000000001E-2"/>
  </r>
  <r>
    <x v="3"/>
    <s v="REACT NATIVE"/>
    <x v="2"/>
    <s v="PARTICIPANTE"/>
    <s v="PRINCIPAL: META AHORRO"/>
    <m/>
    <m/>
    <m/>
    <s v="Seccion en pantalla principal para registrar meta de ahorro del participante"/>
    <m/>
    <n v="4"/>
    <n v="0.5"/>
    <n v="2.5000000000000001E-2"/>
  </r>
  <r>
    <x v="3"/>
    <s v="REACT NATIVE"/>
    <x v="2"/>
    <s v="PARTICIPANTE"/>
    <s v="PRINCIPAL: RESUMEN MOVS"/>
    <m/>
    <m/>
    <m/>
    <s v="Seccion en pantalla principal para presentar resumen de movimientos"/>
    <m/>
    <n v="4"/>
    <n v="0.5"/>
    <n v="2.5000000000000001E-2"/>
  </r>
  <r>
    <x v="3"/>
    <s v="REACT NATIVE"/>
    <x v="2"/>
    <s v="PARTICIPANTE"/>
    <s v="PRINCIPAL: DETALLE MOVS"/>
    <m/>
    <m/>
    <m/>
    <s v="Pantalla para presentar DETALLE de movimientos"/>
    <m/>
    <n v="4"/>
    <n v="0.5"/>
    <n v="2.5000000000000001E-2"/>
  </r>
  <r>
    <x v="3"/>
    <s v="REACT NATIVE"/>
    <x v="2"/>
    <s v="PARTICIPANTE"/>
    <s v="PRINCIPAL: RESUMEN PRESTAMOS"/>
    <m/>
    <m/>
    <m/>
    <s v="Seccion en pantalla principal para presentar  RESUMEN de prestamos"/>
    <m/>
    <n v="4"/>
    <n v="0.5"/>
    <n v="2.5000000000000001E-2"/>
  </r>
  <r>
    <x v="3"/>
    <s v="REACT NATIVE"/>
    <x v="2"/>
    <s v="PARTICIPANTE"/>
    <s v="PRINCIPAL: DETALLE PRESTAMOS"/>
    <m/>
    <m/>
    <m/>
    <s v="Pantalla para presentar  DETALLE de prestamos"/>
    <m/>
    <n v="8"/>
    <n v="1"/>
    <n v="0.05"/>
  </r>
  <r>
    <x v="3"/>
    <s v="REACT NATIVE"/>
    <x v="2"/>
    <s v="PARTICIPANTE"/>
    <s v="HISTORICO MOVS"/>
    <m/>
    <m/>
    <m/>
    <s v="Pantalla para presentar meses disponibles de resumen de movs"/>
    <m/>
    <n v="4"/>
    <n v="0.5"/>
    <n v="2.5000000000000001E-2"/>
  </r>
  <r>
    <x v="3"/>
    <s v="REACT NATIVE"/>
    <x v="2"/>
    <s v="PARTICIPANTE"/>
    <s v="DESCARGAR DE HISTORICO"/>
    <m/>
    <m/>
    <m/>
    <s v="Opcion para ver y descargar pdf de resumen de movs base64"/>
    <m/>
    <n v="8"/>
    <n v="1"/>
    <n v="0.05"/>
  </r>
  <r>
    <x v="3"/>
    <s v="REACT NATIVE"/>
    <x v="2"/>
    <s v="PARTICIPANTE"/>
    <s v="PRESTAMOS"/>
    <m/>
    <m/>
    <m/>
    <s v="Pantalla para captura de prestamos, presentar apartado de prestamos pendientes"/>
    <m/>
    <n v="8"/>
    <n v="1"/>
    <n v="0.05"/>
  </r>
  <r>
    <x v="3"/>
    <s v="REACT NATIVE"/>
    <x v="2"/>
    <s v="PARTICIPANTE"/>
    <s v="PRESTAMOS"/>
    <m/>
    <m/>
    <m/>
    <s v="Pantalla para presentar simulacion de prestamos"/>
    <m/>
    <n v="4"/>
    <n v="0.5"/>
    <n v="2.5000000000000001E-2"/>
  </r>
  <r>
    <x v="3"/>
    <s v="REACT NATIVE"/>
    <x v="2"/>
    <s v="PARTICIPANTE"/>
    <s v="PRESTAMOS"/>
    <m/>
    <m/>
    <m/>
    <s v="Pantalla para presentar folio de prestamos solicitado"/>
    <m/>
    <n v="4"/>
    <n v="0.5"/>
    <n v="2.5000000000000001E-2"/>
  </r>
  <r>
    <x v="3"/>
    <s v="REACT NATIVE"/>
    <x v="2"/>
    <s v="PARTICIPANTE"/>
    <s v="PRESTAMOS"/>
    <m/>
    <m/>
    <m/>
    <s v="Opcion para cancelar un prestamos solicitado"/>
    <m/>
    <n v="4"/>
    <n v="0.5"/>
    <n v="2.5000000000000001E-2"/>
  </r>
  <r>
    <x v="3"/>
    <s v="REACT NATIVE"/>
    <x v="2"/>
    <s v="PARTICIPANTE"/>
    <s v="RETIROS"/>
    <m/>
    <m/>
    <m/>
    <s v="Pantalla para captura de retiros, presentar apartado de retiros en revision"/>
    <m/>
    <n v="8"/>
    <n v="1"/>
    <n v="0.05"/>
  </r>
  <r>
    <x v="3"/>
    <s v="REACT NATIVE"/>
    <x v="2"/>
    <s v="PARTICIPANTE"/>
    <s v="RETIROS"/>
    <m/>
    <m/>
    <m/>
    <s v="Pantalla para presentar folio de retiro solicitado"/>
    <m/>
    <n v="4"/>
    <n v="0.5"/>
    <n v="2.5000000000000001E-2"/>
  </r>
  <r>
    <x v="3"/>
    <s v="REACT NATIVE"/>
    <x v="2"/>
    <s v="PARTICIPANTE"/>
    <s v="RETIROS"/>
    <m/>
    <m/>
    <m/>
    <s v="Opcion para cancelar un retiro solicitado en revision"/>
    <m/>
    <n v="4"/>
    <n v="0.5"/>
    <n v="2.5000000000000001E-2"/>
  </r>
  <r>
    <x v="0"/>
    <s v="PRUE"/>
    <x v="3"/>
    <m/>
    <m/>
    <m/>
    <m/>
    <m/>
    <s v="Pruebas integrales UAT"/>
    <m/>
    <n v="80"/>
    <n v="10"/>
    <n v="0.5"/>
  </r>
  <r>
    <x v="0"/>
    <s v="PRUE"/>
    <x v="3"/>
    <m/>
    <m/>
    <m/>
    <m/>
    <m/>
    <s v="[PARALELO 1] Pruebas usuarios UAT  "/>
    <m/>
    <n v="40"/>
    <n v="5"/>
    <n v="0.25"/>
  </r>
  <r>
    <x v="0"/>
    <s v="PRUE"/>
    <x v="3"/>
    <m/>
    <m/>
    <m/>
    <m/>
    <m/>
    <s v="[PARALELO 1] Pentest MOVIL UAT "/>
    <m/>
    <m/>
    <n v="0"/>
    <n v="0"/>
  </r>
  <r>
    <x v="0"/>
    <s v="PRUE"/>
    <x v="3"/>
    <m/>
    <m/>
    <m/>
    <m/>
    <m/>
    <s v="[PARALELO 1] Auditoria Interna: vulnerabilidades "/>
    <m/>
    <m/>
    <n v="0"/>
    <n v="0"/>
  </r>
  <r>
    <x v="0"/>
    <s v="LIB"/>
    <x v="4"/>
    <m/>
    <m/>
    <m/>
    <m/>
    <m/>
    <s v="[PARALELO 1]  Documentacion, control de cambios"/>
    <m/>
    <m/>
    <n v="0"/>
    <n v="0"/>
  </r>
  <r>
    <x v="0"/>
    <s v="LIB"/>
    <x v="4"/>
    <m/>
    <m/>
    <m/>
    <m/>
    <m/>
    <s v="Deployment Liberacion"/>
    <m/>
    <n v="40"/>
    <m/>
    <m/>
  </r>
  <r>
    <x v="0"/>
    <s v="LIB"/>
    <x v="4"/>
    <m/>
    <m/>
    <m/>
    <m/>
    <m/>
    <s v="Pruebas F&amp;F"/>
    <m/>
    <n v="40"/>
    <n v="5"/>
    <n v="0.25"/>
  </r>
  <r>
    <x v="0"/>
    <s v="LIB"/>
    <x v="4"/>
    <m/>
    <m/>
    <m/>
    <m/>
    <m/>
    <s v="Liberacion: registro aplicación tiendas"/>
    <m/>
    <n v="16"/>
    <n v="2"/>
    <n v="0.1"/>
  </r>
  <r>
    <x v="0"/>
    <s v="LIB"/>
    <x v="4"/>
    <m/>
    <m/>
    <m/>
    <m/>
    <m/>
    <s v="Liberacion: publicar tiendas, etc"/>
    <m/>
    <n v="34"/>
    <n v="4.25"/>
    <n v="0.21249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91419-CA65-48EE-ACAE-60AC007CDDF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C19" firstHeaderRow="0" firstDataRow="1" firstDataCol="1"/>
  <pivotFields count="13">
    <pivotField axis="axisRow" showAll="0">
      <items count="6">
        <item x="1"/>
        <item m="1" x="4"/>
        <item x="0"/>
        <item x="3"/>
        <item x="2"/>
        <item t="default"/>
      </items>
    </pivotField>
    <pivotField showAll="0"/>
    <pivotField axis="axisRow" showAll="0">
      <items count="9">
        <item m="1" x="5"/>
        <item x="0"/>
        <item x="2"/>
        <item m="1" x="7"/>
        <item m="1" x="6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2">
    <field x="2"/>
    <field x="0"/>
  </rowFields>
  <rowItems count="16">
    <i>
      <x v="1"/>
    </i>
    <i r="1">
      <x/>
    </i>
    <i r="1">
      <x v="2"/>
    </i>
    <i r="1">
      <x v="3"/>
    </i>
    <i r="1">
      <x v="4"/>
    </i>
    <i>
      <x v="2"/>
    </i>
    <i r="1">
      <x/>
    </i>
    <i r="1">
      <x v="3"/>
    </i>
    <i r="1">
      <x v="4"/>
    </i>
    <i>
      <x v="5"/>
    </i>
    <i r="1">
      <x v="2"/>
    </i>
    <i>
      <x v="6"/>
    </i>
    <i r="1">
      <x v="2"/>
    </i>
    <i>
      <x v="7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STIMACION (DIAS)" fld="11" baseField="0" baseItem="0"/>
    <dataField name="Sum of ESTIMACION (MESES)" fld="12" baseField="0" baseItem="0" numFmtId="2"/>
  </dataFields>
  <formats count="1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81414-3F72-4F8C-9EAF-09A4BAD8730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C18" firstHeaderRow="0" firstDataRow="1" firstDataCol="1"/>
  <pivotFields count="13">
    <pivotField axis="axisRow" multipleItemSelectionAllowed="1" showAll="0">
      <items count="6">
        <item x="1"/>
        <item m="1" x="4"/>
        <item x="0"/>
        <item x="3"/>
        <item x="2"/>
        <item t="default"/>
      </items>
    </pivotField>
    <pivotField showAll="0"/>
    <pivotField axis="axisRow" showAll="0">
      <items count="9">
        <item m="1" x="5"/>
        <item x="0"/>
        <item x="2"/>
        <item m="1" x="7"/>
        <item m="1" x="6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2">
    <field x="0"/>
    <field x="2"/>
  </rowFields>
  <rowItems count="15">
    <i>
      <x/>
    </i>
    <i r="1">
      <x v="1"/>
    </i>
    <i r="1">
      <x v="2"/>
    </i>
    <i>
      <x v="2"/>
    </i>
    <i r="1">
      <x v="1"/>
    </i>
    <i r="1">
      <x v="5"/>
    </i>
    <i r="1">
      <x v="6"/>
    </i>
    <i r="1">
      <x v="7"/>
    </i>
    <i>
      <x v="3"/>
    </i>
    <i r="1">
      <x v="1"/>
    </i>
    <i r="1">
      <x v="2"/>
    </i>
    <i>
      <x v="4"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STIMACION (DIAS)" fld="11" baseField="0" baseItem="0" numFmtId="164"/>
    <dataField name="Sum of ESTIMACION (MESES)" fld="12" baseField="0" baseItem="0" numFmtId="2"/>
  </dataFields>
  <formats count="3">
    <format dxfId="2">
      <pivotArea field="2" grandRow="1" outline="0" collapsedLevelsAreSubtotals="1" axis="axisRow" fieldPosition="1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hrivera@vector.com.mx" TargetMode="External"/><Relationship Id="rId2" Type="http://schemas.openxmlformats.org/officeDocument/2006/relationships/hyperlink" Target="mailto:pramirez@vector.com.mx" TargetMode="External"/><Relationship Id="rId1" Type="http://schemas.openxmlformats.org/officeDocument/2006/relationships/hyperlink" Target="mailto:macastro@vector.com.mx" TargetMode="Externa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macastro@vector.com.mx" TargetMode="External"/><Relationship Id="rId1" Type="http://schemas.openxmlformats.org/officeDocument/2006/relationships/hyperlink" Target="mailto:macastro@vector.com.mx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macastro@vector.com.mx" TargetMode="External"/><Relationship Id="rId2" Type="http://schemas.openxmlformats.org/officeDocument/2006/relationships/hyperlink" Target="mailto:macastro@vector.com.mx" TargetMode="External"/><Relationship Id="rId1" Type="http://schemas.openxmlformats.org/officeDocument/2006/relationships/hyperlink" Target="mailto:macastro@vector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A088-6E11-4C11-9EF8-C4E779932225}">
  <dimension ref="A2:G22"/>
  <sheetViews>
    <sheetView zoomScale="130" zoomScaleNormal="130" workbookViewId="0">
      <selection activeCell="G17" sqref="G17"/>
    </sheetView>
  </sheetViews>
  <sheetFormatPr baseColWidth="10" defaultColWidth="8.7265625" defaultRowHeight="14.5" x14ac:dyDescent="0.35"/>
  <cols>
    <col min="1" max="1" width="15.7265625" bestFit="1" customWidth="1"/>
    <col min="2" max="2" width="25.81640625" bestFit="1" customWidth="1"/>
    <col min="3" max="3" width="27.7265625" bestFit="1" customWidth="1"/>
  </cols>
  <sheetData>
    <row r="2" spans="1:7" ht="24" thickBot="1" x14ac:dyDescent="0.6">
      <c r="D2" s="55" t="s">
        <v>497</v>
      </c>
      <c r="F2" s="55" t="s">
        <v>480</v>
      </c>
    </row>
    <row r="3" spans="1:7" x14ac:dyDescent="0.35">
      <c r="A3" s="44" t="s">
        <v>431</v>
      </c>
      <c r="B3" t="s">
        <v>439</v>
      </c>
      <c r="C3" t="s">
        <v>440</v>
      </c>
      <c r="D3" s="58" t="s">
        <v>308</v>
      </c>
      <c r="E3" s="59" t="s">
        <v>429</v>
      </c>
      <c r="F3" s="58" t="s">
        <v>429</v>
      </c>
      <c r="G3" s="59" t="s">
        <v>308</v>
      </c>
    </row>
    <row r="4" spans="1:7" x14ac:dyDescent="0.35">
      <c r="A4" s="45" t="s">
        <v>308</v>
      </c>
      <c r="B4">
        <v>93</v>
      </c>
      <c r="C4" s="50">
        <v>4.6500000000000012</v>
      </c>
      <c r="D4" s="60"/>
      <c r="E4" s="61"/>
      <c r="F4" s="60"/>
      <c r="G4" s="61"/>
    </row>
    <row r="5" spans="1:7" x14ac:dyDescent="0.35">
      <c r="A5" s="51" t="s">
        <v>182</v>
      </c>
      <c r="B5">
        <v>25.5</v>
      </c>
      <c r="C5" s="50">
        <v>1.2750000000000001</v>
      </c>
      <c r="D5" s="60"/>
      <c r="E5" s="61"/>
      <c r="F5" s="60"/>
      <c r="G5" s="61">
        <v>1.2750000000000001</v>
      </c>
    </row>
    <row r="6" spans="1:7" x14ac:dyDescent="0.35">
      <c r="A6" s="51" t="s">
        <v>269</v>
      </c>
      <c r="B6">
        <v>30.5</v>
      </c>
      <c r="C6" s="50">
        <v>1.5250000000000006</v>
      </c>
      <c r="D6" s="60">
        <v>1.5250000000000006</v>
      </c>
      <c r="E6" s="61"/>
      <c r="F6" s="60"/>
      <c r="G6" s="61"/>
    </row>
    <row r="7" spans="1:7" x14ac:dyDescent="0.35">
      <c r="A7" s="51" t="s">
        <v>1</v>
      </c>
      <c r="B7">
        <v>25.25</v>
      </c>
      <c r="C7" s="50">
        <v>1.2625</v>
      </c>
      <c r="D7" s="60">
        <v>1.2625</v>
      </c>
      <c r="E7" s="61"/>
      <c r="F7" s="60"/>
      <c r="G7" s="61"/>
    </row>
    <row r="8" spans="1:7" x14ac:dyDescent="0.35">
      <c r="A8" s="51" t="s">
        <v>396</v>
      </c>
      <c r="B8">
        <v>11.75</v>
      </c>
      <c r="C8" s="50">
        <v>0.58750000000000002</v>
      </c>
      <c r="D8" s="60">
        <v>0.58750000000000002</v>
      </c>
      <c r="E8" s="61"/>
      <c r="F8" s="60"/>
      <c r="G8" s="61"/>
    </row>
    <row r="9" spans="1:7" x14ac:dyDescent="0.35">
      <c r="A9" s="45" t="s">
        <v>429</v>
      </c>
      <c r="B9">
        <v>69.5</v>
      </c>
      <c r="C9" s="50">
        <v>3.4749999999999996</v>
      </c>
      <c r="D9" s="60"/>
      <c r="E9" s="61"/>
      <c r="F9" s="60"/>
      <c r="G9" s="61"/>
    </row>
    <row r="10" spans="1:7" x14ac:dyDescent="0.35">
      <c r="A10" s="51" t="s">
        <v>182</v>
      </c>
      <c r="B10">
        <v>31.5</v>
      </c>
      <c r="C10" s="50">
        <v>1.5750000000000004</v>
      </c>
      <c r="D10" s="60"/>
      <c r="E10" s="61"/>
      <c r="F10" s="60">
        <v>1.5750000000000004</v>
      </c>
      <c r="G10" s="61"/>
    </row>
    <row r="11" spans="1:7" x14ac:dyDescent="0.35">
      <c r="A11" s="51" t="s">
        <v>1</v>
      </c>
      <c r="B11">
        <v>32.5</v>
      </c>
      <c r="C11" s="50">
        <v>1.6249999999999993</v>
      </c>
      <c r="D11" s="60"/>
      <c r="E11" s="61">
        <v>1.6249999999999993</v>
      </c>
      <c r="F11" s="60"/>
      <c r="G11" s="61"/>
    </row>
    <row r="12" spans="1:7" x14ac:dyDescent="0.35">
      <c r="A12" s="51" t="s">
        <v>396</v>
      </c>
      <c r="B12">
        <v>5.5</v>
      </c>
      <c r="C12" s="50">
        <v>0.27500000000000002</v>
      </c>
      <c r="D12" s="60"/>
      <c r="E12" s="61">
        <v>0.28000000000000003</v>
      </c>
      <c r="F12" s="60"/>
      <c r="G12" s="61"/>
    </row>
    <row r="13" spans="1:7" x14ac:dyDescent="0.35">
      <c r="A13" s="45" t="s">
        <v>486</v>
      </c>
      <c r="B13">
        <v>5.5</v>
      </c>
      <c r="C13" s="50">
        <v>0.27499999999999997</v>
      </c>
      <c r="D13" s="60"/>
      <c r="E13" s="61"/>
      <c r="F13" s="60"/>
      <c r="G13" s="61"/>
    </row>
    <row r="14" spans="1:7" x14ac:dyDescent="0.35">
      <c r="A14" s="51" t="s">
        <v>269</v>
      </c>
      <c r="B14">
        <v>5.5</v>
      </c>
      <c r="C14" s="50">
        <v>0.27499999999999997</v>
      </c>
      <c r="D14" s="60"/>
      <c r="E14" s="61">
        <v>0.28000000000000003</v>
      </c>
      <c r="F14" s="60"/>
      <c r="G14" s="61"/>
    </row>
    <row r="15" spans="1:7" x14ac:dyDescent="0.35">
      <c r="A15" s="45" t="s">
        <v>487</v>
      </c>
      <c r="B15">
        <v>15</v>
      </c>
      <c r="C15" s="50">
        <v>0.75</v>
      </c>
      <c r="D15" s="60"/>
      <c r="E15" s="61"/>
      <c r="F15" s="60"/>
      <c r="G15" s="61"/>
    </row>
    <row r="16" spans="1:7" x14ac:dyDescent="0.35">
      <c r="A16" s="51" t="s">
        <v>269</v>
      </c>
      <c r="B16">
        <v>15</v>
      </c>
      <c r="C16" s="50">
        <v>0.75</v>
      </c>
      <c r="D16" s="60">
        <v>0.75</v>
      </c>
      <c r="E16" s="61"/>
      <c r="F16" s="60">
        <v>0.75</v>
      </c>
      <c r="G16" s="61"/>
    </row>
    <row r="17" spans="1:7" x14ac:dyDescent="0.35">
      <c r="A17" s="45" t="s">
        <v>488</v>
      </c>
      <c r="B17">
        <v>11.25</v>
      </c>
      <c r="C17" s="50">
        <v>0.5625</v>
      </c>
      <c r="D17" s="60"/>
      <c r="E17" s="61"/>
      <c r="F17" s="60"/>
      <c r="G17" s="61"/>
    </row>
    <row r="18" spans="1:7" x14ac:dyDescent="0.35">
      <c r="A18" s="51" t="s">
        <v>269</v>
      </c>
      <c r="B18">
        <v>11.25</v>
      </c>
      <c r="C18" s="50">
        <v>0.5625</v>
      </c>
      <c r="D18" s="60">
        <v>0.5625</v>
      </c>
      <c r="E18" s="61"/>
      <c r="F18" s="60"/>
      <c r="G18" s="61"/>
    </row>
    <row r="19" spans="1:7" ht="15" thickBot="1" x14ac:dyDescent="0.4">
      <c r="A19" s="45" t="s">
        <v>432</v>
      </c>
      <c r="B19">
        <v>194.25</v>
      </c>
      <c r="C19" s="50">
        <v>9.7125000000000004</v>
      </c>
      <c r="D19" s="62"/>
      <c r="E19" s="63"/>
      <c r="F19" s="62"/>
      <c r="G19" s="63"/>
    </row>
    <row r="20" spans="1:7" ht="23.5" x14ac:dyDescent="0.55000000000000004">
      <c r="C20" s="50"/>
      <c r="D20" s="56">
        <f>SUM(D6:D19)</f>
        <v>4.6875</v>
      </c>
      <c r="E20" s="50"/>
      <c r="F20" s="57">
        <f>SUM(F4:F19)</f>
        <v>2.3250000000000002</v>
      </c>
      <c r="G20" s="50"/>
    </row>
    <row r="21" spans="1:7" x14ac:dyDescent="0.35">
      <c r="D21" t="s">
        <v>496</v>
      </c>
      <c r="F21" t="s">
        <v>498</v>
      </c>
    </row>
    <row r="22" spans="1:7" x14ac:dyDescent="0.35">
      <c r="D22" s="1" t="s">
        <v>499</v>
      </c>
      <c r="F22" s="1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B3B3-D9B1-4D4C-8A0F-0FC124677809}">
  <dimension ref="A3:C18"/>
  <sheetViews>
    <sheetView zoomScale="130" zoomScaleNormal="130" workbookViewId="0">
      <selection activeCell="E8" sqref="E8"/>
    </sheetView>
  </sheetViews>
  <sheetFormatPr baseColWidth="10" defaultColWidth="8.7265625" defaultRowHeight="14.5" x14ac:dyDescent="0.35"/>
  <cols>
    <col min="1" max="1" width="14.453125" bestFit="1" customWidth="1"/>
    <col min="2" max="2" width="25.81640625" bestFit="1" customWidth="1"/>
    <col min="3" max="3" width="27.7265625" bestFit="1" customWidth="1"/>
    <col min="4" max="4" width="12.54296875" customWidth="1"/>
    <col min="5" max="5" width="9" customWidth="1"/>
    <col min="6" max="6" width="11.26953125" bestFit="1" customWidth="1"/>
    <col min="7" max="7" width="27.7265625" bestFit="1" customWidth="1"/>
    <col min="8" max="8" width="13.1796875" bestFit="1" customWidth="1"/>
    <col min="9" max="9" width="9.54296875" bestFit="1" customWidth="1"/>
    <col min="10" max="10" width="7" bestFit="1" customWidth="1"/>
    <col min="11" max="11" width="11.26953125" bestFit="1" customWidth="1"/>
    <col min="12" max="12" width="30.81640625" bestFit="1" customWidth="1"/>
    <col min="13" max="13" width="32.7265625" bestFit="1" customWidth="1"/>
  </cols>
  <sheetData>
    <row r="3" spans="1:3" x14ac:dyDescent="0.35">
      <c r="A3" s="44" t="s">
        <v>431</v>
      </c>
      <c r="B3" t="s">
        <v>439</v>
      </c>
      <c r="C3" t="s">
        <v>440</v>
      </c>
    </row>
    <row r="4" spans="1:3" x14ac:dyDescent="0.35">
      <c r="A4" s="45" t="s">
        <v>182</v>
      </c>
      <c r="B4" s="46">
        <v>57</v>
      </c>
      <c r="C4" s="50">
        <v>2.8500000000000005</v>
      </c>
    </row>
    <row r="5" spans="1:3" x14ac:dyDescent="0.35">
      <c r="A5" s="51" t="s">
        <v>308</v>
      </c>
      <c r="B5" s="46">
        <v>25.5</v>
      </c>
      <c r="C5" s="50">
        <v>1.2750000000000001</v>
      </c>
    </row>
    <row r="6" spans="1:3" x14ac:dyDescent="0.35">
      <c r="A6" s="51" t="s">
        <v>429</v>
      </c>
      <c r="B6" s="46">
        <v>31.5</v>
      </c>
      <c r="C6" s="50">
        <v>1.5750000000000004</v>
      </c>
    </row>
    <row r="7" spans="1:3" x14ac:dyDescent="0.35">
      <c r="A7" s="45" t="s">
        <v>269</v>
      </c>
      <c r="B7" s="46">
        <v>62.25</v>
      </c>
      <c r="C7" s="50">
        <v>3.1125000000000007</v>
      </c>
    </row>
    <row r="8" spans="1:3" x14ac:dyDescent="0.35">
      <c r="A8" s="51" t="s">
        <v>308</v>
      </c>
      <c r="B8" s="46">
        <v>30.5</v>
      </c>
      <c r="C8" s="50">
        <v>1.5250000000000006</v>
      </c>
    </row>
    <row r="9" spans="1:3" x14ac:dyDescent="0.35">
      <c r="A9" s="51" t="s">
        <v>486</v>
      </c>
      <c r="B9" s="46">
        <v>5.5</v>
      </c>
      <c r="C9" s="50">
        <v>0.27499999999999997</v>
      </c>
    </row>
    <row r="10" spans="1:3" x14ac:dyDescent="0.35">
      <c r="A10" s="51" t="s">
        <v>487</v>
      </c>
      <c r="B10" s="46">
        <v>15</v>
      </c>
      <c r="C10" s="50">
        <v>0.75</v>
      </c>
    </row>
    <row r="11" spans="1:3" x14ac:dyDescent="0.35">
      <c r="A11" s="51" t="s">
        <v>488</v>
      </c>
      <c r="B11" s="46">
        <v>11.25</v>
      </c>
      <c r="C11" s="50">
        <v>0.5625</v>
      </c>
    </row>
    <row r="12" spans="1:3" x14ac:dyDescent="0.35">
      <c r="A12" s="45" t="s">
        <v>1</v>
      </c>
      <c r="B12" s="46">
        <v>57.75</v>
      </c>
      <c r="C12" s="50">
        <v>2.8874999999999993</v>
      </c>
    </row>
    <row r="13" spans="1:3" x14ac:dyDescent="0.35">
      <c r="A13" s="51" t="s">
        <v>308</v>
      </c>
      <c r="B13" s="46">
        <v>25.25</v>
      </c>
      <c r="C13" s="50">
        <v>1.2625</v>
      </c>
    </row>
    <row r="14" spans="1:3" x14ac:dyDescent="0.35">
      <c r="A14" s="51" t="s">
        <v>429</v>
      </c>
      <c r="B14" s="46">
        <v>32.5</v>
      </c>
      <c r="C14" s="50">
        <v>1.6249999999999993</v>
      </c>
    </row>
    <row r="15" spans="1:3" x14ac:dyDescent="0.35">
      <c r="A15" s="45" t="s">
        <v>396</v>
      </c>
      <c r="B15" s="46">
        <v>17.25</v>
      </c>
      <c r="C15" s="50">
        <v>0.86250000000000004</v>
      </c>
    </row>
    <row r="16" spans="1:3" x14ac:dyDescent="0.35">
      <c r="A16" s="51" t="s">
        <v>308</v>
      </c>
      <c r="B16" s="46">
        <v>11.75</v>
      </c>
      <c r="C16" s="50">
        <v>0.58750000000000002</v>
      </c>
    </row>
    <row r="17" spans="1:3" x14ac:dyDescent="0.35">
      <c r="A17" s="51" t="s">
        <v>429</v>
      </c>
      <c r="B17" s="46">
        <v>5.5</v>
      </c>
      <c r="C17" s="50">
        <v>0.27500000000000002</v>
      </c>
    </row>
    <row r="18" spans="1:3" x14ac:dyDescent="0.35">
      <c r="A18" s="45" t="s">
        <v>432</v>
      </c>
      <c r="B18" s="46">
        <v>194.25</v>
      </c>
      <c r="C18" s="50">
        <v>9.7125000000000021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786C-C10C-4D86-AE19-6C6339056B23}">
  <dimension ref="A1:O174"/>
  <sheetViews>
    <sheetView tabSelected="1" zoomScaleNormal="100" workbookViewId="0">
      <pane ySplit="1" topLeftCell="A54" activePane="bottomLeft" state="frozen"/>
      <selection pane="bottomLeft" activeCell="E55" sqref="E55"/>
    </sheetView>
  </sheetViews>
  <sheetFormatPr baseColWidth="10" defaultColWidth="8.7265625" defaultRowHeight="14.5" x14ac:dyDescent="0.35"/>
  <cols>
    <col min="1" max="1" width="22" customWidth="1"/>
    <col min="2" max="2" width="31.6328125" customWidth="1"/>
    <col min="3" max="3" width="15.453125" customWidth="1"/>
    <col min="4" max="4" width="3.81640625" customWidth="1"/>
    <col min="5" max="5" width="27.81640625" customWidth="1"/>
    <col min="6" max="6" width="15.26953125" customWidth="1"/>
    <col min="7" max="7" width="20.81640625" hidden="1" customWidth="1"/>
    <col min="8" max="8" width="39.453125" customWidth="1"/>
    <col min="9" max="9" width="84.7265625" customWidth="1"/>
    <col min="10" max="10" width="14.453125" customWidth="1"/>
    <col min="11" max="11" width="18.7265625" customWidth="1"/>
    <col min="12" max="12" width="18.453125" customWidth="1"/>
    <col min="13" max="13" width="20.7265625" bestFit="1" customWidth="1"/>
    <col min="15" max="15" width="11.7265625" bestFit="1" customWidth="1"/>
    <col min="16" max="16" width="14" customWidth="1"/>
    <col min="18" max="18" width="19.1796875" customWidth="1"/>
  </cols>
  <sheetData>
    <row r="1" spans="1:15" x14ac:dyDescent="0.35">
      <c r="A1" s="1" t="s">
        <v>18</v>
      </c>
      <c r="B1" s="1" t="s">
        <v>9</v>
      </c>
      <c r="C1" s="1" t="s">
        <v>20</v>
      </c>
      <c r="D1" s="1" t="s">
        <v>178</v>
      </c>
      <c r="E1" s="1" t="s">
        <v>22</v>
      </c>
      <c r="F1" s="1" t="s">
        <v>23</v>
      </c>
      <c r="G1" s="1" t="s">
        <v>29</v>
      </c>
      <c r="H1" s="1" t="s">
        <v>19</v>
      </c>
      <c r="I1" s="1" t="s">
        <v>17</v>
      </c>
      <c r="J1" s="1" t="s">
        <v>480</v>
      </c>
      <c r="K1" s="1" t="s">
        <v>436</v>
      </c>
      <c r="L1" s="1" t="s">
        <v>437</v>
      </c>
      <c r="M1" s="1" t="s">
        <v>438</v>
      </c>
    </row>
    <row r="2" spans="1:15" x14ac:dyDescent="0.35">
      <c r="A2" s="43" t="s">
        <v>269</v>
      </c>
      <c r="B2" s="1" t="s">
        <v>0</v>
      </c>
      <c r="C2" t="s">
        <v>308</v>
      </c>
      <c r="D2" s="1"/>
      <c r="E2" s="1"/>
      <c r="F2" s="1"/>
      <c r="G2" s="1"/>
      <c r="H2" s="1"/>
      <c r="I2" t="s">
        <v>425</v>
      </c>
      <c r="K2" s="1">
        <v>8</v>
      </c>
      <c r="L2">
        <f>K2/8</f>
        <v>1</v>
      </c>
      <c r="M2">
        <f>L2/20</f>
        <v>0.05</v>
      </c>
    </row>
    <row r="3" spans="1:15" x14ac:dyDescent="0.35">
      <c r="A3" s="43" t="s">
        <v>269</v>
      </c>
      <c r="B3" s="1" t="s">
        <v>0</v>
      </c>
      <c r="C3" t="s">
        <v>308</v>
      </c>
      <c r="D3" s="1"/>
      <c r="E3" s="1"/>
      <c r="F3" s="1"/>
      <c r="G3" s="1"/>
      <c r="H3" s="1"/>
      <c r="I3" t="s">
        <v>311</v>
      </c>
      <c r="K3" s="1">
        <v>20</v>
      </c>
      <c r="L3">
        <f t="shared" ref="L3:L69" si="0">K3/8</f>
        <v>2.5</v>
      </c>
      <c r="M3">
        <f t="shared" ref="M3:M69" si="1">L3/20</f>
        <v>0.125</v>
      </c>
    </row>
    <row r="4" spans="1:15" x14ac:dyDescent="0.35">
      <c r="A4" s="43" t="s">
        <v>269</v>
      </c>
      <c r="B4" s="1" t="s">
        <v>5</v>
      </c>
      <c r="C4" t="s">
        <v>308</v>
      </c>
      <c r="D4" s="1"/>
      <c r="E4" s="1"/>
      <c r="F4" s="1"/>
      <c r="G4" s="1"/>
      <c r="H4" s="1"/>
      <c r="I4" t="s">
        <v>310</v>
      </c>
      <c r="K4" s="1">
        <v>16</v>
      </c>
      <c r="L4">
        <f t="shared" si="0"/>
        <v>2</v>
      </c>
      <c r="M4">
        <f t="shared" si="1"/>
        <v>0.1</v>
      </c>
      <c r="O4" t="s">
        <v>460</v>
      </c>
    </row>
    <row r="5" spans="1:15" x14ac:dyDescent="0.35">
      <c r="A5" s="43" t="s">
        <v>269</v>
      </c>
      <c r="B5" s="1" t="s">
        <v>0</v>
      </c>
      <c r="C5" t="s">
        <v>308</v>
      </c>
      <c r="D5" s="1"/>
      <c r="E5" s="1"/>
      <c r="F5" s="1"/>
      <c r="G5" s="1"/>
      <c r="H5" s="1"/>
      <c r="I5" t="s">
        <v>426</v>
      </c>
      <c r="K5" s="1">
        <v>8</v>
      </c>
      <c r="L5">
        <f t="shared" si="0"/>
        <v>1</v>
      </c>
      <c r="M5">
        <f t="shared" si="1"/>
        <v>0.05</v>
      </c>
    </row>
    <row r="6" spans="1:15" x14ac:dyDescent="0.35">
      <c r="A6" s="43" t="s">
        <v>269</v>
      </c>
      <c r="B6" s="1" t="s">
        <v>5</v>
      </c>
      <c r="C6" t="s">
        <v>308</v>
      </c>
      <c r="D6" s="1"/>
      <c r="E6" s="1"/>
      <c r="F6" s="1"/>
      <c r="G6" s="1"/>
      <c r="H6" s="1"/>
      <c r="I6" t="s">
        <v>326</v>
      </c>
      <c r="K6" s="1">
        <v>16</v>
      </c>
      <c r="L6">
        <f t="shared" si="0"/>
        <v>2</v>
      </c>
      <c r="M6">
        <f t="shared" si="1"/>
        <v>0.1</v>
      </c>
      <c r="O6" t="s">
        <v>460</v>
      </c>
    </row>
    <row r="7" spans="1:15" x14ac:dyDescent="0.35">
      <c r="A7" s="43" t="s">
        <v>269</v>
      </c>
      <c r="B7" s="1" t="s">
        <v>5</v>
      </c>
      <c r="C7" t="s">
        <v>486</v>
      </c>
      <c r="D7" s="1"/>
      <c r="E7" s="1"/>
      <c r="F7" s="1"/>
      <c r="G7" s="1"/>
      <c r="H7" s="1"/>
      <c r="I7" s="42" t="s">
        <v>461</v>
      </c>
      <c r="J7" s="42"/>
      <c r="K7" s="1">
        <v>20</v>
      </c>
      <c r="L7">
        <f t="shared" si="0"/>
        <v>2.5</v>
      </c>
      <c r="M7">
        <f t="shared" si="1"/>
        <v>0.125</v>
      </c>
    </row>
    <row r="8" spans="1:15" x14ac:dyDescent="0.35">
      <c r="A8" s="43" t="s">
        <v>269</v>
      </c>
      <c r="B8" s="1" t="s">
        <v>5</v>
      </c>
      <c r="C8" t="s">
        <v>308</v>
      </c>
      <c r="D8" s="1"/>
      <c r="E8" s="1"/>
      <c r="F8" s="1"/>
      <c r="G8" s="1"/>
      <c r="H8" s="1"/>
      <c r="I8" t="s">
        <v>317</v>
      </c>
      <c r="K8" s="1">
        <v>20</v>
      </c>
      <c r="L8">
        <f t="shared" si="0"/>
        <v>2.5</v>
      </c>
      <c r="M8">
        <f t="shared" si="1"/>
        <v>0.125</v>
      </c>
    </row>
    <row r="9" spans="1:15" x14ac:dyDescent="0.35">
      <c r="A9" s="43" t="s">
        <v>269</v>
      </c>
      <c r="B9" s="1" t="s">
        <v>0</v>
      </c>
      <c r="C9" t="s">
        <v>308</v>
      </c>
      <c r="D9" s="1"/>
      <c r="E9" s="1"/>
      <c r="F9" s="1"/>
      <c r="G9" s="1"/>
      <c r="H9" s="1"/>
      <c r="I9" t="s">
        <v>319</v>
      </c>
      <c r="K9" s="1">
        <v>8</v>
      </c>
      <c r="L9">
        <f t="shared" si="0"/>
        <v>1</v>
      </c>
      <c r="M9">
        <f t="shared" si="1"/>
        <v>0.05</v>
      </c>
    </row>
    <row r="10" spans="1:15" x14ac:dyDescent="0.35">
      <c r="A10" s="43" t="s">
        <v>269</v>
      </c>
      <c r="B10" s="1" t="s">
        <v>0</v>
      </c>
      <c r="C10" t="s">
        <v>308</v>
      </c>
      <c r="D10" s="1"/>
      <c r="E10" s="1"/>
      <c r="F10" s="1"/>
      <c r="G10" s="1"/>
      <c r="H10" s="1"/>
      <c r="I10" t="s">
        <v>321</v>
      </c>
      <c r="K10" s="1">
        <v>8</v>
      </c>
      <c r="L10">
        <f t="shared" si="0"/>
        <v>1</v>
      </c>
      <c r="M10">
        <f t="shared" si="1"/>
        <v>0.05</v>
      </c>
    </row>
    <row r="11" spans="1:15" x14ac:dyDescent="0.35">
      <c r="A11" s="43" t="s">
        <v>269</v>
      </c>
      <c r="B11" s="1" t="s">
        <v>0</v>
      </c>
      <c r="C11" t="s">
        <v>308</v>
      </c>
      <c r="D11" s="1"/>
      <c r="E11" s="1"/>
      <c r="F11" s="1"/>
      <c r="G11" s="1"/>
      <c r="H11" s="1"/>
      <c r="I11" t="s">
        <v>325</v>
      </c>
      <c r="K11" s="1">
        <v>8</v>
      </c>
      <c r="L11">
        <f t="shared" si="0"/>
        <v>1</v>
      </c>
      <c r="M11">
        <f t="shared" si="1"/>
        <v>0.05</v>
      </c>
    </row>
    <row r="12" spans="1:15" x14ac:dyDescent="0.35">
      <c r="A12" s="43" t="s">
        <v>269</v>
      </c>
      <c r="B12" s="1" t="s">
        <v>0</v>
      </c>
      <c r="C12" t="s">
        <v>308</v>
      </c>
      <c r="D12" s="1"/>
      <c r="E12" s="1"/>
      <c r="F12" s="1"/>
      <c r="G12" s="1"/>
      <c r="H12" s="1"/>
      <c r="I12" t="s">
        <v>320</v>
      </c>
      <c r="K12" s="1">
        <v>16</v>
      </c>
      <c r="L12">
        <f t="shared" si="0"/>
        <v>2</v>
      </c>
      <c r="M12">
        <f t="shared" si="1"/>
        <v>0.1</v>
      </c>
    </row>
    <row r="13" spans="1:15" x14ac:dyDescent="0.35">
      <c r="A13" s="43" t="s">
        <v>269</v>
      </c>
      <c r="B13" s="1" t="s">
        <v>0</v>
      </c>
      <c r="C13" t="s">
        <v>308</v>
      </c>
      <c r="D13" s="1"/>
      <c r="E13" s="1"/>
      <c r="F13" s="1"/>
      <c r="G13" s="1"/>
      <c r="H13" s="1"/>
      <c r="I13" t="s">
        <v>330</v>
      </c>
      <c r="K13" s="1">
        <v>16</v>
      </c>
      <c r="L13">
        <f t="shared" si="0"/>
        <v>2</v>
      </c>
      <c r="M13">
        <f t="shared" si="1"/>
        <v>0.1</v>
      </c>
    </row>
    <row r="14" spans="1:15" x14ac:dyDescent="0.35">
      <c r="A14" s="43" t="s">
        <v>269</v>
      </c>
      <c r="B14" s="1" t="s">
        <v>0</v>
      </c>
      <c r="C14" t="s">
        <v>308</v>
      </c>
      <c r="D14" s="1"/>
      <c r="E14" s="1"/>
      <c r="F14" s="1"/>
      <c r="G14" s="1"/>
      <c r="H14" s="1"/>
      <c r="I14" t="s">
        <v>318</v>
      </c>
      <c r="K14" s="1">
        <v>8</v>
      </c>
      <c r="L14">
        <f t="shared" si="0"/>
        <v>1</v>
      </c>
      <c r="M14">
        <f t="shared" si="1"/>
        <v>0.05</v>
      </c>
    </row>
    <row r="15" spans="1:15" x14ac:dyDescent="0.35">
      <c r="A15" s="43" t="s">
        <v>269</v>
      </c>
      <c r="B15" s="1" t="s">
        <v>0</v>
      </c>
      <c r="C15" t="s">
        <v>308</v>
      </c>
      <c r="D15" s="1"/>
      <c r="E15" s="1"/>
      <c r="F15" s="1"/>
      <c r="G15" s="1"/>
      <c r="H15" s="1"/>
      <c r="I15" t="s">
        <v>462</v>
      </c>
      <c r="K15" s="1">
        <v>16</v>
      </c>
      <c r="L15">
        <f t="shared" si="0"/>
        <v>2</v>
      </c>
      <c r="M15">
        <f t="shared" si="1"/>
        <v>0.1</v>
      </c>
    </row>
    <row r="16" spans="1:15" x14ac:dyDescent="0.35">
      <c r="A16" s="43" t="s">
        <v>269</v>
      </c>
      <c r="B16" s="1" t="s">
        <v>5</v>
      </c>
      <c r="C16" t="s">
        <v>486</v>
      </c>
      <c r="D16" s="1"/>
      <c r="E16" s="1"/>
      <c r="F16" s="1"/>
      <c r="G16" s="1"/>
      <c r="H16" s="1"/>
      <c r="I16" s="42" t="s">
        <v>322</v>
      </c>
      <c r="J16" s="42"/>
      <c r="K16" s="1">
        <v>8</v>
      </c>
      <c r="L16">
        <f t="shared" si="0"/>
        <v>1</v>
      </c>
      <c r="M16">
        <f t="shared" si="1"/>
        <v>0.05</v>
      </c>
    </row>
    <row r="17" spans="1:14" x14ac:dyDescent="0.35">
      <c r="A17" s="43" t="s">
        <v>269</v>
      </c>
      <c r="B17" s="1" t="s">
        <v>5</v>
      </c>
      <c r="C17" t="s">
        <v>486</v>
      </c>
      <c r="D17" s="1"/>
      <c r="E17" s="1"/>
      <c r="F17" s="1"/>
      <c r="G17" s="1"/>
      <c r="H17" s="1"/>
      <c r="I17" s="42" t="s">
        <v>323</v>
      </c>
      <c r="J17" s="42"/>
      <c r="K17" s="1">
        <v>8</v>
      </c>
      <c r="L17">
        <f t="shared" si="0"/>
        <v>1</v>
      </c>
      <c r="M17">
        <f t="shared" si="1"/>
        <v>0.05</v>
      </c>
    </row>
    <row r="18" spans="1:14" x14ac:dyDescent="0.35">
      <c r="A18" s="43" t="s">
        <v>269</v>
      </c>
      <c r="B18" s="1" t="s">
        <v>5</v>
      </c>
      <c r="C18" t="s">
        <v>486</v>
      </c>
      <c r="D18" s="1"/>
      <c r="E18" s="1"/>
      <c r="F18" s="1"/>
      <c r="G18" s="1"/>
      <c r="H18" s="1"/>
      <c r="I18" s="42" t="s">
        <v>457</v>
      </c>
      <c r="J18" s="42"/>
      <c r="K18" s="1">
        <v>8</v>
      </c>
      <c r="L18">
        <f t="shared" si="0"/>
        <v>1</v>
      </c>
      <c r="M18">
        <f t="shared" si="1"/>
        <v>0.05</v>
      </c>
    </row>
    <row r="19" spans="1:14" x14ac:dyDescent="0.35">
      <c r="A19" s="43" t="s">
        <v>269</v>
      </c>
      <c r="B19" s="1" t="s">
        <v>0</v>
      </c>
      <c r="C19" t="s">
        <v>308</v>
      </c>
      <c r="D19" s="1"/>
      <c r="E19" s="1"/>
      <c r="F19" s="1"/>
      <c r="G19" s="1"/>
      <c r="H19" s="1"/>
      <c r="I19" t="s">
        <v>441</v>
      </c>
      <c r="K19" s="1">
        <v>20</v>
      </c>
      <c r="L19">
        <f t="shared" si="0"/>
        <v>2.5</v>
      </c>
      <c r="M19">
        <f t="shared" si="1"/>
        <v>0.125</v>
      </c>
    </row>
    <row r="20" spans="1:14" x14ac:dyDescent="0.35">
      <c r="A20" s="43" t="s">
        <v>269</v>
      </c>
      <c r="B20" s="1" t="s">
        <v>5</v>
      </c>
      <c r="C20" t="s">
        <v>308</v>
      </c>
      <c r="D20" s="1"/>
      <c r="E20" s="1"/>
      <c r="F20" s="1"/>
      <c r="G20" s="1"/>
      <c r="H20" s="1"/>
      <c r="I20" t="s">
        <v>463</v>
      </c>
      <c r="K20" s="1">
        <v>16</v>
      </c>
      <c r="L20">
        <f t="shared" si="0"/>
        <v>2</v>
      </c>
      <c r="M20">
        <f t="shared" si="1"/>
        <v>0.1</v>
      </c>
    </row>
    <row r="21" spans="1:14" x14ac:dyDescent="0.35">
      <c r="A21" s="43" t="s">
        <v>269</v>
      </c>
      <c r="B21" s="1" t="s">
        <v>0</v>
      </c>
      <c r="C21" t="s">
        <v>308</v>
      </c>
      <c r="D21" s="1"/>
      <c r="E21" s="1"/>
      <c r="F21" s="1"/>
      <c r="G21" s="1"/>
      <c r="H21" s="1"/>
      <c r="I21" t="s">
        <v>456</v>
      </c>
      <c r="K21" s="1">
        <v>8</v>
      </c>
      <c r="L21">
        <f>K21/8</f>
        <v>1</v>
      </c>
      <c r="M21">
        <f>L21/20</f>
        <v>0.05</v>
      </c>
    </row>
    <row r="22" spans="1:14" x14ac:dyDescent="0.35">
      <c r="A22" s="43" t="s">
        <v>269</v>
      </c>
      <c r="B22" s="1" t="s">
        <v>5</v>
      </c>
      <c r="C22" t="s">
        <v>308</v>
      </c>
      <c r="D22" s="1"/>
      <c r="E22" s="1"/>
      <c r="F22" s="1"/>
      <c r="G22" s="1"/>
      <c r="H22" s="1"/>
      <c r="I22" t="s">
        <v>478</v>
      </c>
      <c r="K22" s="1">
        <v>16</v>
      </c>
      <c r="L22">
        <f>K22/8</f>
        <v>2</v>
      </c>
      <c r="M22">
        <f>L22/20</f>
        <v>0.1</v>
      </c>
    </row>
    <row r="23" spans="1:14" x14ac:dyDescent="0.35">
      <c r="A23" s="43" t="s">
        <v>269</v>
      </c>
      <c r="B23" s="1" t="s">
        <v>5</v>
      </c>
      <c r="C23" t="s">
        <v>308</v>
      </c>
      <c r="D23" s="1"/>
      <c r="E23" s="1"/>
      <c r="F23" s="1"/>
      <c r="G23" s="1"/>
      <c r="H23" s="1"/>
      <c r="I23" t="s">
        <v>479</v>
      </c>
      <c r="K23" s="1">
        <v>16</v>
      </c>
      <c r="L23">
        <f t="shared" si="0"/>
        <v>2</v>
      </c>
      <c r="M23">
        <f t="shared" si="1"/>
        <v>0.1</v>
      </c>
    </row>
    <row r="24" spans="1:14" x14ac:dyDescent="0.35">
      <c r="A24" s="12" t="s">
        <v>182</v>
      </c>
      <c r="B24" s="1" t="s">
        <v>455</v>
      </c>
      <c r="C24" t="s">
        <v>308</v>
      </c>
      <c r="D24" t="s">
        <v>221</v>
      </c>
      <c r="E24" t="s">
        <v>62</v>
      </c>
      <c r="F24" s="1" t="s">
        <v>25</v>
      </c>
      <c r="G24" s="1"/>
      <c r="H24" s="8" t="s">
        <v>166</v>
      </c>
      <c r="I24" t="s">
        <v>150</v>
      </c>
      <c r="K24" s="1">
        <v>24</v>
      </c>
      <c r="L24">
        <f t="shared" si="0"/>
        <v>3</v>
      </c>
      <c r="M24">
        <f t="shared" si="1"/>
        <v>0.15</v>
      </c>
    </row>
    <row r="25" spans="1:14" x14ac:dyDescent="0.35">
      <c r="A25" s="12" t="s">
        <v>182</v>
      </c>
      <c r="B25" s="1" t="s">
        <v>455</v>
      </c>
      <c r="C25" t="s">
        <v>308</v>
      </c>
      <c r="D25" t="s">
        <v>221</v>
      </c>
      <c r="E25" t="s">
        <v>62</v>
      </c>
      <c r="F25" s="1" t="s">
        <v>25</v>
      </c>
      <c r="G25" s="1"/>
      <c r="H25" s="8" t="s">
        <v>167</v>
      </c>
      <c r="I25" t="s">
        <v>151</v>
      </c>
      <c r="K25" s="1">
        <v>8</v>
      </c>
      <c r="L25">
        <f t="shared" si="0"/>
        <v>1</v>
      </c>
      <c r="M25">
        <f t="shared" si="1"/>
        <v>0.05</v>
      </c>
    </row>
    <row r="26" spans="1:14" x14ac:dyDescent="0.35">
      <c r="A26" s="12" t="s">
        <v>182</v>
      </c>
      <c r="B26" s="1" t="s">
        <v>101</v>
      </c>
      <c r="C26" t="s">
        <v>308</v>
      </c>
      <c r="D26" t="s">
        <v>221</v>
      </c>
      <c r="E26" t="s">
        <v>88</v>
      </c>
      <c r="F26" s="1" t="s">
        <v>25</v>
      </c>
      <c r="G26" s="1"/>
      <c r="H26" s="8" t="s">
        <v>168</v>
      </c>
      <c r="I26" t="s">
        <v>180</v>
      </c>
      <c r="K26" s="1">
        <v>24</v>
      </c>
      <c r="L26">
        <f t="shared" si="0"/>
        <v>3</v>
      </c>
      <c r="M26">
        <f t="shared" si="1"/>
        <v>0.15</v>
      </c>
    </row>
    <row r="27" spans="1:14" x14ac:dyDescent="0.35">
      <c r="A27" s="12" t="s">
        <v>182</v>
      </c>
      <c r="B27" s="1" t="s">
        <v>101</v>
      </c>
      <c r="C27" t="s">
        <v>308</v>
      </c>
      <c r="D27" t="s">
        <v>221</v>
      </c>
      <c r="E27" t="s">
        <v>89</v>
      </c>
      <c r="F27" s="1" t="s">
        <v>99</v>
      </c>
      <c r="G27" s="1"/>
      <c r="H27" s="8" t="s">
        <v>169</v>
      </c>
      <c r="I27" t="s">
        <v>94</v>
      </c>
      <c r="K27" s="1">
        <v>4</v>
      </c>
      <c r="L27">
        <f t="shared" si="0"/>
        <v>0.5</v>
      </c>
      <c r="M27">
        <f t="shared" si="1"/>
        <v>2.5000000000000001E-2</v>
      </c>
    </row>
    <row r="28" spans="1:14" x14ac:dyDescent="0.35">
      <c r="A28" s="12" t="s">
        <v>182</v>
      </c>
      <c r="B28" s="1" t="s">
        <v>101</v>
      </c>
      <c r="C28" t="s">
        <v>308</v>
      </c>
      <c r="D28" t="s">
        <v>221</v>
      </c>
      <c r="E28" t="s">
        <v>248</v>
      </c>
      <c r="F28" s="1" t="s">
        <v>25</v>
      </c>
      <c r="G28" s="1"/>
      <c r="H28" s="8" t="s">
        <v>170</v>
      </c>
      <c r="I28" t="s">
        <v>95</v>
      </c>
      <c r="K28" s="1">
        <v>8</v>
      </c>
      <c r="L28">
        <f t="shared" si="0"/>
        <v>1</v>
      </c>
      <c r="M28">
        <f t="shared" si="1"/>
        <v>0.05</v>
      </c>
    </row>
    <row r="29" spans="1:14" x14ac:dyDescent="0.35">
      <c r="A29" s="12" t="s">
        <v>182</v>
      </c>
      <c r="B29" s="1" t="s">
        <v>101</v>
      </c>
      <c r="C29" t="s">
        <v>308</v>
      </c>
      <c r="D29" t="s">
        <v>221</v>
      </c>
      <c r="E29" t="s">
        <v>248</v>
      </c>
      <c r="F29" s="1" t="s">
        <v>25</v>
      </c>
      <c r="G29" s="1"/>
      <c r="H29" s="8" t="s">
        <v>171</v>
      </c>
      <c r="I29" t="s">
        <v>98</v>
      </c>
      <c r="K29" s="1">
        <v>4</v>
      </c>
      <c r="L29">
        <f t="shared" si="0"/>
        <v>0.5</v>
      </c>
      <c r="M29">
        <f t="shared" si="1"/>
        <v>2.5000000000000001E-2</v>
      </c>
    </row>
    <row r="30" spans="1:14" x14ac:dyDescent="0.35">
      <c r="A30" s="12" t="s">
        <v>182</v>
      </c>
      <c r="B30" s="1" t="s">
        <v>101</v>
      </c>
      <c r="C30" t="s">
        <v>308</v>
      </c>
      <c r="D30" t="s">
        <v>221</v>
      </c>
      <c r="E30" t="s">
        <v>141</v>
      </c>
      <c r="F30" s="1" t="s">
        <v>25</v>
      </c>
      <c r="G30" s="1"/>
      <c r="H30" s="8" t="s">
        <v>172</v>
      </c>
      <c r="I30" t="s">
        <v>142</v>
      </c>
      <c r="K30" s="1">
        <v>8</v>
      </c>
      <c r="L30">
        <f t="shared" si="0"/>
        <v>1</v>
      </c>
      <c r="M30">
        <f t="shared" si="1"/>
        <v>0.05</v>
      </c>
    </row>
    <row r="31" spans="1:14" x14ac:dyDescent="0.35">
      <c r="A31" s="12" t="s">
        <v>182</v>
      </c>
      <c r="B31" s="38" t="s">
        <v>107</v>
      </c>
      <c r="C31" t="s">
        <v>308</v>
      </c>
      <c r="D31" t="s">
        <v>221</v>
      </c>
      <c r="E31" t="s">
        <v>222</v>
      </c>
      <c r="F31" s="1" t="s">
        <v>99</v>
      </c>
      <c r="G31" s="1"/>
      <c r="H31" s="2" t="s">
        <v>223</v>
      </c>
      <c r="I31" t="s">
        <v>227</v>
      </c>
      <c r="K31" s="1">
        <v>8</v>
      </c>
      <c r="L31">
        <f t="shared" si="0"/>
        <v>1</v>
      </c>
      <c r="M31">
        <f t="shared" si="1"/>
        <v>0.05</v>
      </c>
    </row>
    <row r="32" spans="1:14" x14ac:dyDescent="0.35">
      <c r="A32" s="12" t="s">
        <v>182</v>
      </c>
      <c r="B32" s="38" t="s">
        <v>5</v>
      </c>
      <c r="C32" t="s">
        <v>308</v>
      </c>
      <c r="D32" t="s">
        <v>221</v>
      </c>
      <c r="E32" t="s">
        <v>222</v>
      </c>
      <c r="F32" s="1" t="s">
        <v>99</v>
      </c>
      <c r="G32" s="1"/>
      <c r="H32" s="2" t="s">
        <v>223</v>
      </c>
      <c r="I32" t="s">
        <v>227</v>
      </c>
      <c r="K32" s="1">
        <v>8</v>
      </c>
      <c r="L32">
        <f t="shared" si="0"/>
        <v>1</v>
      </c>
      <c r="M32">
        <f t="shared" si="1"/>
        <v>0.05</v>
      </c>
      <c r="N32" t="s">
        <v>464</v>
      </c>
    </row>
    <row r="33" spans="1:13" x14ac:dyDescent="0.35">
      <c r="A33" s="12" t="s">
        <v>182</v>
      </c>
      <c r="B33" s="38" t="s">
        <v>459</v>
      </c>
      <c r="C33" t="s">
        <v>308</v>
      </c>
      <c r="D33" t="s">
        <v>221</v>
      </c>
      <c r="E33" t="s">
        <v>259</v>
      </c>
      <c r="F33" s="1" t="s">
        <v>25</v>
      </c>
      <c r="G33" s="1"/>
      <c r="H33" s="2" t="s">
        <v>228</v>
      </c>
      <c r="I33" s="52" t="s">
        <v>229</v>
      </c>
      <c r="J33">
        <v>1</v>
      </c>
      <c r="K33" s="1">
        <v>8</v>
      </c>
      <c r="L33">
        <f t="shared" si="0"/>
        <v>1</v>
      </c>
      <c r="M33">
        <f t="shared" si="1"/>
        <v>0.05</v>
      </c>
    </row>
    <row r="34" spans="1:13" x14ac:dyDescent="0.35">
      <c r="A34" s="12" t="s">
        <v>182</v>
      </c>
      <c r="B34" s="38" t="s">
        <v>107</v>
      </c>
      <c r="C34" t="s">
        <v>308</v>
      </c>
      <c r="D34" t="s">
        <v>221</v>
      </c>
      <c r="E34" t="s">
        <v>260</v>
      </c>
      <c r="F34" s="1" t="s">
        <v>99</v>
      </c>
      <c r="G34" s="1"/>
      <c r="H34" s="2" t="s">
        <v>224</v>
      </c>
      <c r="I34" t="s">
        <v>469</v>
      </c>
      <c r="K34" s="1">
        <v>16</v>
      </c>
      <c r="L34">
        <f t="shared" si="0"/>
        <v>2</v>
      </c>
      <c r="M34">
        <f t="shared" si="1"/>
        <v>0.1</v>
      </c>
    </row>
    <row r="35" spans="1:13" x14ac:dyDescent="0.35">
      <c r="A35" s="12" t="s">
        <v>182</v>
      </c>
      <c r="B35" s="38" t="s">
        <v>5</v>
      </c>
      <c r="C35" t="s">
        <v>308</v>
      </c>
      <c r="D35" t="s">
        <v>221</v>
      </c>
      <c r="E35" t="s">
        <v>260</v>
      </c>
      <c r="F35" s="1" t="s">
        <v>99</v>
      </c>
      <c r="G35" s="1"/>
      <c r="H35" s="2" t="s">
        <v>224</v>
      </c>
      <c r="I35" t="s">
        <v>152</v>
      </c>
      <c r="K35" s="1">
        <v>8</v>
      </c>
      <c r="L35">
        <f t="shared" si="0"/>
        <v>1</v>
      </c>
      <c r="M35">
        <f t="shared" si="1"/>
        <v>0.05</v>
      </c>
    </row>
    <row r="36" spans="1:13" s="71" customFormat="1" x14ac:dyDescent="0.35">
      <c r="A36" s="69" t="s">
        <v>182</v>
      </c>
      <c r="B36" s="70" t="s">
        <v>107</v>
      </c>
      <c r="C36" s="71" t="s">
        <v>308</v>
      </c>
      <c r="D36" s="71" t="s">
        <v>221</v>
      </c>
      <c r="E36" s="71" t="s">
        <v>260</v>
      </c>
      <c r="F36" s="72" t="s">
        <v>25</v>
      </c>
      <c r="G36" s="72"/>
      <c r="H36" s="71" t="s">
        <v>225</v>
      </c>
      <c r="I36" s="71" t="s">
        <v>465</v>
      </c>
      <c r="K36" s="72">
        <v>24</v>
      </c>
      <c r="L36" s="71">
        <f t="shared" si="0"/>
        <v>3</v>
      </c>
      <c r="M36" s="71">
        <f t="shared" si="1"/>
        <v>0.15</v>
      </c>
    </row>
    <row r="37" spans="1:13" s="71" customFormat="1" x14ac:dyDescent="0.35">
      <c r="A37" s="69" t="s">
        <v>182</v>
      </c>
      <c r="B37" s="70" t="s">
        <v>107</v>
      </c>
      <c r="C37" s="71" t="s">
        <v>308</v>
      </c>
      <c r="D37" s="71" t="s">
        <v>221</v>
      </c>
      <c r="E37" s="71" t="s">
        <v>260</v>
      </c>
      <c r="F37" s="72" t="s">
        <v>25</v>
      </c>
      <c r="G37" s="72"/>
      <c r="H37" s="71" t="s">
        <v>226</v>
      </c>
      <c r="I37" s="71" t="s">
        <v>153</v>
      </c>
      <c r="K37" s="72">
        <v>8</v>
      </c>
      <c r="L37" s="71">
        <f t="shared" si="0"/>
        <v>1</v>
      </c>
      <c r="M37" s="71">
        <f t="shared" si="1"/>
        <v>0.05</v>
      </c>
    </row>
    <row r="38" spans="1:13" x14ac:dyDescent="0.35">
      <c r="A38" s="12" t="s">
        <v>182</v>
      </c>
      <c r="B38" s="38" t="s">
        <v>107</v>
      </c>
      <c r="C38" t="s">
        <v>308</v>
      </c>
      <c r="D38" t="s">
        <v>221</v>
      </c>
      <c r="E38" t="s">
        <v>260</v>
      </c>
      <c r="F38" s="1" t="s">
        <v>232</v>
      </c>
      <c r="G38" s="1"/>
      <c r="H38" s="2" t="s">
        <v>359</v>
      </c>
      <c r="I38" t="s">
        <v>360</v>
      </c>
      <c r="K38" s="1">
        <v>8</v>
      </c>
      <c r="L38">
        <f t="shared" si="0"/>
        <v>1</v>
      </c>
      <c r="M38">
        <f t="shared" si="1"/>
        <v>0.05</v>
      </c>
    </row>
    <row r="39" spans="1:13" x14ac:dyDescent="0.35">
      <c r="A39" s="12" t="s">
        <v>182</v>
      </c>
      <c r="B39" s="38" t="s">
        <v>107</v>
      </c>
      <c r="C39" t="s">
        <v>308</v>
      </c>
      <c r="D39" t="s">
        <v>179</v>
      </c>
      <c r="E39" t="s">
        <v>261</v>
      </c>
      <c r="F39" s="1" t="s">
        <v>99</v>
      </c>
      <c r="G39" s="1"/>
      <c r="H39" s="2" t="s">
        <v>230</v>
      </c>
      <c r="I39" s="52" t="s">
        <v>231</v>
      </c>
      <c r="J39">
        <v>1</v>
      </c>
      <c r="K39" s="1">
        <v>8</v>
      </c>
      <c r="L39">
        <f t="shared" si="0"/>
        <v>1</v>
      </c>
      <c r="M39">
        <f t="shared" si="1"/>
        <v>0.05</v>
      </c>
    </row>
    <row r="40" spans="1:13" x14ac:dyDescent="0.35">
      <c r="A40" s="12" t="s">
        <v>182</v>
      </c>
      <c r="B40" s="38" t="s">
        <v>107</v>
      </c>
      <c r="C40" t="s">
        <v>308</v>
      </c>
      <c r="D40" t="s">
        <v>179</v>
      </c>
      <c r="E40" t="s">
        <v>261</v>
      </c>
      <c r="F40" s="1" t="s">
        <v>232</v>
      </c>
      <c r="G40" s="1"/>
      <c r="H40" s="2" t="s">
        <v>233</v>
      </c>
      <c r="I40" s="52" t="s">
        <v>234</v>
      </c>
      <c r="J40">
        <v>1</v>
      </c>
      <c r="K40" s="1">
        <v>4</v>
      </c>
      <c r="L40">
        <f t="shared" si="0"/>
        <v>0.5</v>
      </c>
      <c r="M40">
        <f t="shared" si="1"/>
        <v>2.5000000000000001E-2</v>
      </c>
    </row>
    <row r="41" spans="1:13" x14ac:dyDescent="0.35">
      <c r="A41" s="12" t="s">
        <v>182</v>
      </c>
      <c r="B41" s="38" t="s">
        <v>107</v>
      </c>
      <c r="C41" t="s">
        <v>308</v>
      </c>
      <c r="D41" t="s">
        <v>221</v>
      </c>
      <c r="E41" t="s">
        <v>410</v>
      </c>
      <c r="F41" s="1" t="s">
        <v>99</v>
      </c>
      <c r="G41" s="1"/>
      <c r="H41" s="2" t="s">
        <v>412</v>
      </c>
      <c r="I41" t="s">
        <v>414</v>
      </c>
      <c r="K41" s="1">
        <v>8</v>
      </c>
      <c r="L41">
        <f t="shared" si="0"/>
        <v>1</v>
      </c>
      <c r="M41">
        <f t="shared" si="1"/>
        <v>0.05</v>
      </c>
    </row>
    <row r="42" spans="1:13" x14ac:dyDescent="0.35">
      <c r="A42" s="12" t="s">
        <v>182</v>
      </c>
      <c r="B42" s="38" t="s">
        <v>107</v>
      </c>
      <c r="C42" t="s">
        <v>308</v>
      </c>
      <c r="D42" t="s">
        <v>221</v>
      </c>
      <c r="E42" t="s">
        <v>410</v>
      </c>
      <c r="F42" s="1" t="s">
        <v>25</v>
      </c>
      <c r="G42" s="1"/>
      <c r="H42" s="2" t="s">
        <v>412</v>
      </c>
      <c r="I42" t="s">
        <v>415</v>
      </c>
      <c r="K42" s="1">
        <v>4</v>
      </c>
      <c r="L42">
        <f t="shared" si="0"/>
        <v>0.5</v>
      </c>
      <c r="M42">
        <f t="shared" si="1"/>
        <v>2.5000000000000001E-2</v>
      </c>
    </row>
    <row r="43" spans="1:13" x14ac:dyDescent="0.35">
      <c r="A43" s="12" t="s">
        <v>182</v>
      </c>
      <c r="B43" s="38" t="s">
        <v>107</v>
      </c>
      <c r="C43" t="s">
        <v>308</v>
      </c>
      <c r="D43" t="s">
        <v>221</v>
      </c>
      <c r="E43" t="s">
        <v>409</v>
      </c>
      <c r="F43" s="1" t="s">
        <v>99</v>
      </c>
      <c r="G43" s="1"/>
      <c r="H43" s="2" t="s">
        <v>413</v>
      </c>
      <c r="I43" t="s">
        <v>235</v>
      </c>
      <c r="K43" s="1">
        <v>8</v>
      </c>
      <c r="L43">
        <f t="shared" si="0"/>
        <v>1</v>
      </c>
      <c r="M43">
        <f t="shared" si="1"/>
        <v>0.05</v>
      </c>
    </row>
    <row r="44" spans="1:13" x14ac:dyDescent="0.35">
      <c r="A44" s="12" t="s">
        <v>182</v>
      </c>
      <c r="B44" s="38" t="s">
        <v>107</v>
      </c>
      <c r="C44" t="s">
        <v>308</v>
      </c>
      <c r="D44" t="s">
        <v>221</v>
      </c>
      <c r="E44" t="s">
        <v>409</v>
      </c>
      <c r="F44" s="1" t="s">
        <v>25</v>
      </c>
      <c r="G44" s="1"/>
      <c r="H44" s="2" t="s">
        <v>413</v>
      </c>
      <c r="I44" t="s">
        <v>236</v>
      </c>
      <c r="K44" s="1">
        <v>4</v>
      </c>
      <c r="L44">
        <f t="shared" si="0"/>
        <v>0.5</v>
      </c>
      <c r="M44">
        <f t="shared" si="1"/>
        <v>2.5000000000000001E-2</v>
      </c>
    </row>
    <row r="45" spans="1:13" x14ac:dyDescent="0.35">
      <c r="A45" s="37" t="s">
        <v>396</v>
      </c>
      <c r="B45" s="38" t="s">
        <v>107</v>
      </c>
      <c r="C45" t="s">
        <v>308</v>
      </c>
      <c r="D45" t="s">
        <v>179</v>
      </c>
      <c r="E45" t="s">
        <v>397</v>
      </c>
      <c r="F45" s="38" t="s">
        <v>99</v>
      </c>
      <c r="G45" s="38"/>
      <c r="H45" s="39" t="s">
        <v>417</v>
      </c>
      <c r="I45" s="40" t="s">
        <v>421</v>
      </c>
      <c r="J45" s="40"/>
      <c r="K45" s="1">
        <v>4</v>
      </c>
      <c r="L45">
        <f t="shared" si="0"/>
        <v>0.5</v>
      </c>
      <c r="M45">
        <f t="shared" si="1"/>
        <v>2.5000000000000001E-2</v>
      </c>
    </row>
    <row r="46" spans="1:13" x14ac:dyDescent="0.35">
      <c r="A46" s="37" t="s">
        <v>396</v>
      </c>
      <c r="B46" s="38" t="s">
        <v>107</v>
      </c>
      <c r="C46" t="s">
        <v>308</v>
      </c>
      <c r="D46" t="s">
        <v>179</v>
      </c>
      <c r="E46" t="s">
        <v>397</v>
      </c>
      <c r="F46" s="38" t="s">
        <v>99</v>
      </c>
      <c r="G46" s="38"/>
      <c r="H46" s="39" t="s">
        <v>422</v>
      </c>
      <c r="I46" s="40" t="s">
        <v>423</v>
      </c>
      <c r="J46" s="40"/>
      <c r="K46" s="1">
        <v>4</v>
      </c>
      <c r="L46">
        <f t="shared" si="0"/>
        <v>0.5</v>
      </c>
      <c r="M46">
        <f t="shared" si="1"/>
        <v>2.5000000000000001E-2</v>
      </c>
    </row>
    <row r="47" spans="1:13" x14ac:dyDescent="0.35">
      <c r="A47" s="37" t="s">
        <v>396</v>
      </c>
      <c r="B47" s="38" t="s">
        <v>107</v>
      </c>
      <c r="C47" t="s">
        <v>308</v>
      </c>
      <c r="D47" t="s">
        <v>179</v>
      </c>
      <c r="E47" t="s">
        <v>397</v>
      </c>
      <c r="F47" s="38" t="s">
        <v>25</v>
      </c>
      <c r="G47" s="38"/>
      <c r="H47" s="41" t="s">
        <v>418</v>
      </c>
      <c r="I47" s="40" t="s">
        <v>402</v>
      </c>
      <c r="J47" s="40"/>
      <c r="K47" s="1">
        <v>8</v>
      </c>
      <c r="L47">
        <f t="shared" si="0"/>
        <v>1</v>
      </c>
      <c r="M47">
        <f t="shared" si="1"/>
        <v>0.05</v>
      </c>
    </row>
    <row r="48" spans="1:13" x14ac:dyDescent="0.35">
      <c r="A48" s="37" t="s">
        <v>396</v>
      </c>
      <c r="B48" s="38" t="s">
        <v>107</v>
      </c>
      <c r="C48" t="s">
        <v>308</v>
      </c>
      <c r="D48" t="s">
        <v>179</v>
      </c>
      <c r="E48" t="s">
        <v>397</v>
      </c>
      <c r="F48" s="38" t="s">
        <v>232</v>
      </c>
      <c r="G48" s="38"/>
      <c r="H48" s="41" t="s">
        <v>418</v>
      </c>
      <c r="I48" s="40" t="s">
        <v>403</v>
      </c>
      <c r="J48" s="40"/>
      <c r="K48" s="1">
        <v>4</v>
      </c>
      <c r="L48">
        <f t="shared" si="0"/>
        <v>0.5</v>
      </c>
      <c r="M48">
        <f t="shared" si="1"/>
        <v>2.5000000000000001E-2</v>
      </c>
    </row>
    <row r="49" spans="1:14" x14ac:dyDescent="0.35">
      <c r="A49" s="37" t="s">
        <v>396</v>
      </c>
      <c r="B49" s="38" t="s">
        <v>107</v>
      </c>
      <c r="C49" t="s">
        <v>308</v>
      </c>
      <c r="D49" t="s">
        <v>179</v>
      </c>
      <c r="E49" t="s">
        <v>395</v>
      </c>
      <c r="F49" s="38" t="s">
        <v>99</v>
      </c>
      <c r="G49" s="38"/>
      <c r="H49" s="41" t="s">
        <v>420</v>
      </c>
      <c r="I49" s="40" t="s">
        <v>404</v>
      </c>
      <c r="J49" s="40"/>
      <c r="K49" s="1">
        <v>8</v>
      </c>
      <c r="L49">
        <f t="shared" si="0"/>
        <v>1</v>
      </c>
      <c r="M49">
        <f t="shared" si="1"/>
        <v>0.05</v>
      </c>
    </row>
    <row r="50" spans="1:14" x14ac:dyDescent="0.35">
      <c r="A50" s="37" t="s">
        <v>396</v>
      </c>
      <c r="B50" s="38" t="s">
        <v>107</v>
      </c>
      <c r="C50" t="s">
        <v>308</v>
      </c>
      <c r="D50" t="s">
        <v>179</v>
      </c>
      <c r="E50" t="s">
        <v>395</v>
      </c>
      <c r="F50" s="38" t="s">
        <v>99</v>
      </c>
      <c r="G50" s="38"/>
      <c r="H50" s="39" t="s">
        <v>417</v>
      </c>
      <c r="I50" s="40" t="s">
        <v>405</v>
      </c>
      <c r="J50" s="40"/>
      <c r="K50" s="1">
        <v>4</v>
      </c>
      <c r="L50">
        <f t="shared" si="0"/>
        <v>0.5</v>
      </c>
      <c r="M50">
        <f t="shared" si="1"/>
        <v>2.5000000000000001E-2</v>
      </c>
    </row>
    <row r="51" spans="1:14" x14ac:dyDescent="0.35">
      <c r="A51" s="37" t="s">
        <v>396</v>
      </c>
      <c r="B51" s="38" t="s">
        <v>107</v>
      </c>
      <c r="C51" t="s">
        <v>308</v>
      </c>
      <c r="D51" t="s">
        <v>179</v>
      </c>
      <c r="E51" t="s">
        <v>395</v>
      </c>
      <c r="F51" s="38" t="s">
        <v>99</v>
      </c>
      <c r="G51" s="38"/>
      <c r="H51" s="39" t="s">
        <v>422</v>
      </c>
      <c r="I51" s="40" t="s">
        <v>406</v>
      </c>
      <c r="J51" s="40"/>
      <c r="K51" s="1">
        <v>4</v>
      </c>
      <c r="L51">
        <f t="shared" si="0"/>
        <v>0.5</v>
      </c>
      <c r="M51">
        <f t="shared" si="1"/>
        <v>2.5000000000000001E-2</v>
      </c>
    </row>
    <row r="52" spans="1:14" x14ac:dyDescent="0.35">
      <c r="A52" s="37" t="s">
        <v>396</v>
      </c>
      <c r="B52" s="38" t="s">
        <v>107</v>
      </c>
      <c r="C52" t="s">
        <v>308</v>
      </c>
      <c r="D52" t="s">
        <v>179</v>
      </c>
      <c r="E52" t="s">
        <v>395</v>
      </c>
      <c r="F52" s="38" t="s">
        <v>25</v>
      </c>
      <c r="G52" s="38"/>
      <c r="H52" s="41" t="s">
        <v>419</v>
      </c>
      <c r="I52" s="40" t="s">
        <v>477</v>
      </c>
      <c r="J52" s="40"/>
      <c r="K52" s="1">
        <v>8</v>
      </c>
      <c r="L52">
        <f t="shared" si="0"/>
        <v>1</v>
      </c>
      <c r="M52">
        <f t="shared" si="1"/>
        <v>0.05</v>
      </c>
    </row>
    <row r="53" spans="1:14" x14ac:dyDescent="0.35">
      <c r="A53" s="37" t="s">
        <v>396</v>
      </c>
      <c r="B53" s="38" t="s">
        <v>107</v>
      </c>
      <c r="C53" t="s">
        <v>308</v>
      </c>
      <c r="D53" t="s">
        <v>179</v>
      </c>
      <c r="E53" t="s">
        <v>395</v>
      </c>
      <c r="F53" s="38" t="s">
        <v>232</v>
      </c>
      <c r="G53" s="38"/>
      <c r="H53" s="41" t="s">
        <v>419</v>
      </c>
      <c r="I53" s="40" t="s">
        <v>407</v>
      </c>
      <c r="J53" s="40"/>
      <c r="K53" s="1">
        <v>4</v>
      </c>
      <c r="L53">
        <f t="shared" si="0"/>
        <v>0.5</v>
      </c>
      <c r="M53">
        <f t="shared" si="1"/>
        <v>2.5000000000000001E-2</v>
      </c>
    </row>
    <row r="54" spans="1:14" x14ac:dyDescent="0.35">
      <c r="A54" s="37" t="s">
        <v>396</v>
      </c>
      <c r="B54" s="38" t="s">
        <v>107</v>
      </c>
      <c r="C54" t="s">
        <v>308</v>
      </c>
      <c r="D54" t="s">
        <v>179</v>
      </c>
      <c r="E54" t="s">
        <v>408</v>
      </c>
      <c r="F54" s="38" t="s">
        <v>99</v>
      </c>
      <c r="G54" s="38"/>
      <c r="H54" s="41" t="s">
        <v>416</v>
      </c>
      <c r="I54" s="40" t="s">
        <v>238</v>
      </c>
      <c r="J54" s="40"/>
      <c r="K54" s="1">
        <v>4</v>
      </c>
      <c r="L54">
        <f t="shared" si="0"/>
        <v>0.5</v>
      </c>
      <c r="M54">
        <f t="shared" si="1"/>
        <v>2.5000000000000001E-2</v>
      </c>
    </row>
    <row r="55" spans="1:14" x14ac:dyDescent="0.35">
      <c r="A55" s="37" t="s">
        <v>396</v>
      </c>
      <c r="B55" s="38" t="s">
        <v>107</v>
      </c>
      <c r="C55" t="s">
        <v>308</v>
      </c>
      <c r="D55" t="s">
        <v>179</v>
      </c>
      <c r="E55" t="s">
        <v>408</v>
      </c>
      <c r="F55" s="38" t="s">
        <v>25</v>
      </c>
      <c r="G55" s="38"/>
      <c r="H55" s="41" t="s">
        <v>416</v>
      </c>
      <c r="I55" s="40" t="s">
        <v>239</v>
      </c>
      <c r="J55" s="40"/>
      <c r="K55" s="1">
        <v>4</v>
      </c>
      <c r="L55">
        <f t="shared" si="0"/>
        <v>0.5</v>
      </c>
      <c r="M55">
        <f t="shared" si="1"/>
        <v>2.5000000000000001E-2</v>
      </c>
    </row>
    <row r="56" spans="1:14" x14ac:dyDescent="0.35">
      <c r="A56" s="37" t="s">
        <v>396</v>
      </c>
      <c r="B56" s="38" t="s">
        <v>107</v>
      </c>
      <c r="C56" t="s">
        <v>308</v>
      </c>
      <c r="D56" t="s">
        <v>179</v>
      </c>
      <c r="E56" t="s">
        <v>468</v>
      </c>
      <c r="F56" s="38"/>
      <c r="G56" s="38"/>
      <c r="H56" s="41" t="s">
        <v>154</v>
      </c>
      <c r="I56" s="40" t="s">
        <v>467</v>
      </c>
      <c r="J56" s="40"/>
      <c r="K56" s="1">
        <v>8</v>
      </c>
      <c r="L56">
        <f t="shared" si="0"/>
        <v>1</v>
      </c>
      <c r="M56">
        <f t="shared" si="1"/>
        <v>0.05</v>
      </c>
    </row>
    <row r="57" spans="1:14" x14ac:dyDescent="0.35">
      <c r="A57" s="37" t="s">
        <v>396</v>
      </c>
      <c r="B57" s="38" t="s">
        <v>107</v>
      </c>
      <c r="C57" t="s">
        <v>308</v>
      </c>
      <c r="D57" t="s">
        <v>179</v>
      </c>
      <c r="E57" t="s">
        <v>401</v>
      </c>
      <c r="F57" s="38" t="s">
        <v>99</v>
      </c>
      <c r="G57" s="38"/>
      <c r="H57" s="41" t="s">
        <v>424</v>
      </c>
      <c r="I57" s="52" t="s">
        <v>471</v>
      </c>
      <c r="J57" s="40">
        <v>1</v>
      </c>
      <c r="K57" s="1">
        <v>30</v>
      </c>
      <c r="L57">
        <f t="shared" si="0"/>
        <v>3.75</v>
      </c>
      <c r="M57">
        <f t="shared" si="1"/>
        <v>0.1875</v>
      </c>
    </row>
    <row r="58" spans="1:14" s="71" customFormat="1" x14ac:dyDescent="0.35">
      <c r="A58" s="73" t="s">
        <v>1</v>
      </c>
      <c r="B58" s="72" t="s">
        <v>455</v>
      </c>
      <c r="C58" s="71" t="s">
        <v>308</v>
      </c>
      <c r="D58" s="71" t="s">
        <v>221</v>
      </c>
      <c r="E58" s="71" t="s">
        <v>90</v>
      </c>
      <c r="F58" s="72" t="s">
        <v>25</v>
      </c>
      <c r="G58" s="72"/>
      <c r="H58" s="74" t="s">
        <v>159</v>
      </c>
      <c r="I58" s="71" t="s">
        <v>92</v>
      </c>
      <c r="K58" s="72">
        <v>12</v>
      </c>
      <c r="L58" s="71">
        <f t="shared" si="0"/>
        <v>1.5</v>
      </c>
      <c r="M58" s="71">
        <f t="shared" si="1"/>
        <v>7.4999999999999997E-2</v>
      </c>
      <c r="N58" s="72"/>
    </row>
    <row r="59" spans="1:14" s="71" customFormat="1" x14ac:dyDescent="0.35">
      <c r="A59" s="73" t="s">
        <v>1</v>
      </c>
      <c r="B59" s="72" t="s">
        <v>455</v>
      </c>
      <c r="C59" s="71" t="s">
        <v>308</v>
      </c>
      <c r="D59" s="71" t="s">
        <v>221</v>
      </c>
      <c r="E59" s="71" t="s">
        <v>91</v>
      </c>
      <c r="F59" s="72" t="s">
        <v>25</v>
      </c>
      <c r="G59" s="72"/>
      <c r="H59" s="74" t="s">
        <v>160</v>
      </c>
      <c r="I59" s="71" t="s">
        <v>93</v>
      </c>
      <c r="K59" s="72">
        <v>4</v>
      </c>
      <c r="L59" s="71">
        <f t="shared" si="0"/>
        <v>0.5</v>
      </c>
      <c r="M59" s="71">
        <f t="shared" si="1"/>
        <v>2.5000000000000001E-2</v>
      </c>
      <c r="N59" s="72"/>
    </row>
    <row r="60" spans="1:14" x14ac:dyDescent="0.35">
      <c r="A60" s="13" t="s">
        <v>1</v>
      </c>
      <c r="B60" s="1" t="s">
        <v>101</v>
      </c>
      <c r="C60" t="s">
        <v>308</v>
      </c>
      <c r="D60" t="s">
        <v>221</v>
      </c>
      <c r="E60" t="s">
        <v>88</v>
      </c>
      <c r="F60" s="1" t="s">
        <v>25</v>
      </c>
      <c r="G60" s="1"/>
      <c r="H60" s="8" t="s">
        <v>161</v>
      </c>
      <c r="I60" t="s">
        <v>143</v>
      </c>
      <c r="K60" s="1">
        <v>12</v>
      </c>
      <c r="L60">
        <f t="shared" si="0"/>
        <v>1.5</v>
      </c>
      <c r="M60">
        <f t="shared" si="1"/>
        <v>7.4999999999999997E-2</v>
      </c>
      <c r="N60" s="1"/>
    </row>
    <row r="61" spans="1:14" x14ac:dyDescent="0.35">
      <c r="A61" s="13" t="s">
        <v>1</v>
      </c>
      <c r="B61" s="1" t="s">
        <v>101</v>
      </c>
      <c r="C61" t="s">
        <v>308</v>
      </c>
      <c r="D61" t="s">
        <v>221</v>
      </c>
      <c r="E61" t="s">
        <v>89</v>
      </c>
      <c r="F61" s="1" t="s">
        <v>99</v>
      </c>
      <c r="G61" s="1"/>
      <c r="H61" s="8" t="s">
        <v>162</v>
      </c>
      <c r="I61" t="s">
        <v>94</v>
      </c>
      <c r="K61" s="1">
        <v>2</v>
      </c>
      <c r="L61">
        <f t="shared" si="0"/>
        <v>0.25</v>
      </c>
      <c r="M61">
        <f t="shared" si="1"/>
        <v>1.2500000000000001E-2</v>
      </c>
      <c r="N61" s="1"/>
    </row>
    <row r="62" spans="1:14" x14ac:dyDescent="0.35">
      <c r="A62" s="13" t="s">
        <v>1</v>
      </c>
      <c r="B62" s="1" t="s">
        <v>101</v>
      </c>
      <c r="C62" t="s">
        <v>308</v>
      </c>
      <c r="D62" t="s">
        <v>221</v>
      </c>
      <c r="E62" t="s">
        <v>96</v>
      </c>
      <c r="F62" s="1" t="s">
        <v>25</v>
      </c>
      <c r="G62" s="1"/>
      <c r="H62" s="8" t="s">
        <v>163</v>
      </c>
      <c r="I62" t="s">
        <v>95</v>
      </c>
      <c r="K62" s="1">
        <v>4</v>
      </c>
      <c r="L62">
        <f t="shared" si="0"/>
        <v>0.5</v>
      </c>
      <c r="M62">
        <f t="shared" si="1"/>
        <v>2.5000000000000001E-2</v>
      </c>
      <c r="N62" s="1"/>
    </row>
    <row r="63" spans="1:14" x14ac:dyDescent="0.35">
      <c r="A63" s="13" t="s">
        <v>1</v>
      </c>
      <c r="B63" s="1" t="s">
        <v>101</v>
      </c>
      <c r="C63" t="s">
        <v>308</v>
      </c>
      <c r="D63" t="s">
        <v>221</v>
      </c>
      <c r="E63" t="s">
        <v>97</v>
      </c>
      <c r="F63" s="1" t="s">
        <v>25</v>
      </c>
      <c r="G63" s="1"/>
      <c r="H63" s="8" t="s">
        <v>164</v>
      </c>
      <c r="I63" t="s">
        <v>98</v>
      </c>
      <c r="K63" s="1">
        <v>2</v>
      </c>
      <c r="L63">
        <f t="shared" si="0"/>
        <v>0.25</v>
      </c>
      <c r="M63">
        <f t="shared" si="1"/>
        <v>1.2500000000000001E-2</v>
      </c>
      <c r="N63" s="1"/>
    </row>
    <row r="64" spans="1:14" x14ac:dyDescent="0.35">
      <c r="A64" s="13" t="s">
        <v>1</v>
      </c>
      <c r="B64" s="1" t="s">
        <v>101</v>
      </c>
      <c r="C64" t="s">
        <v>308</v>
      </c>
      <c r="D64" t="s">
        <v>221</v>
      </c>
      <c r="E64" t="s">
        <v>141</v>
      </c>
      <c r="F64" s="1" t="s">
        <v>25</v>
      </c>
      <c r="G64" s="1"/>
      <c r="H64" s="8" t="s">
        <v>165</v>
      </c>
      <c r="I64" t="s">
        <v>142</v>
      </c>
      <c r="K64" s="1">
        <v>2</v>
      </c>
      <c r="L64">
        <f t="shared" si="0"/>
        <v>0.25</v>
      </c>
      <c r="M64">
        <f t="shared" si="1"/>
        <v>1.2500000000000001E-2</v>
      </c>
    </row>
    <row r="65" spans="1:13" x14ac:dyDescent="0.35">
      <c r="A65" s="13" t="s">
        <v>1</v>
      </c>
      <c r="B65" s="1" t="s">
        <v>107</v>
      </c>
      <c r="C65" t="s">
        <v>308</v>
      </c>
      <c r="D65" t="s">
        <v>237</v>
      </c>
      <c r="E65" s="1" t="s">
        <v>222</v>
      </c>
      <c r="F65" s="1" t="s">
        <v>99</v>
      </c>
      <c r="G65" s="1"/>
      <c r="H65" s="2" t="s">
        <v>338</v>
      </c>
      <c r="I65" t="s">
        <v>102</v>
      </c>
      <c r="K65" s="1">
        <v>4</v>
      </c>
      <c r="L65">
        <f t="shared" si="0"/>
        <v>0.5</v>
      </c>
      <c r="M65">
        <f t="shared" si="1"/>
        <v>2.5000000000000001E-2</v>
      </c>
    </row>
    <row r="66" spans="1:13" x14ac:dyDescent="0.35">
      <c r="A66" s="13" t="s">
        <v>1</v>
      </c>
      <c r="B66" s="1" t="s">
        <v>107</v>
      </c>
      <c r="C66" t="s">
        <v>308</v>
      </c>
      <c r="D66" t="s">
        <v>237</v>
      </c>
      <c r="E66" s="1" t="s">
        <v>103</v>
      </c>
      <c r="F66" s="1" t="s">
        <v>99</v>
      </c>
      <c r="G66" s="1"/>
      <c r="H66" s="2" t="s">
        <v>339</v>
      </c>
      <c r="I66" t="s">
        <v>104</v>
      </c>
      <c r="K66" s="1">
        <v>4</v>
      </c>
      <c r="L66">
        <f t="shared" si="0"/>
        <v>0.5</v>
      </c>
      <c r="M66">
        <f t="shared" si="1"/>
        <v>2.5000000000000001E-2</v>
      </c>
    </row>
    <row r="67" spans="1:13" x14ac:dyDescent="0.35">
      <c r="A67" s="13" t="s">
        <v>1</v>
      </c>
      <c r="B67" s="1" t="s">
        <v>107</v>
      </c>
      <c r="C67" t="s">
        <v>308</v>
      </c>
      <c r="D67" t="s">
        <v>237</v>
      </c>
      <c r="E67" s="1" t="s">
        <v>105</v>
      </c>
      <c r="F67" s="1" t="s">
        <v>25</v>
      </c>
      <c r="G67" s="1"/>
      <c r="H67" s="2" t="s">
        <v>340</v>
      </c>
      <c r="I67" t="s">
        <v>106</v>
      </c>
      <c r="K67" s="1">
        <v>4</v>
      </c>
      <c r="L67">
        <f t="shared" si="0"/>
        <v>0.5</v>
      </c>
      <c r="M67">
        <f t="shared" si="1"/>
        <v>2.5000000000000001E-2</v>
      </c>
    </row>
    <row r="68" spans="1:13" x14ac:dyDescent="0.35">
      <c r="A68" s="13" t="s">
        <v>1</v>
      </c>
      <c r="B68" s="1" t="s">
        <v>107</v>
      </c>
      <c r="C68" t="s">
        <v>308</v>
      </c>
      <c r="D68" t="s">
        <v>237</v>
      </c>
      <c r="E68" s="1" t="s">
        <v>110</v>
      </c>
      <c r="F68" s="1" t="s">
        <v>99</v>
      </c>
      <c r="G68" s="1"/>
      <c r="H68" s="2" t="s">
        <v>341</v>
      </c>
      <c r="I68" t="s">
        <v>111</v>
      </c>
      <c r="K68" s="1">
        <v>4</v>
      </c>
      <c r="L68">
        <f t="shared" si="0"/>
        <v>0.5</v>
      </c>
      <c r="M68">
        <f t="shared" si="1"/>
        <v>2.5000000000000001E-2</v>
      </c>
    </row>
    <row r="69" spans="1:13" x14ac:dyDescent="0.35">
      <c r="A69" s="13" t="s">
        <v>1</v>
      </c>
      <c r="B69" s="1" t="s">
        <v>107</v>
      </c>
      <c r="C69" t="s">
        <v>308</v>
      </c>
      <c r="D69" t="s">
        <v>237</v>
      </c>
      <c r="E69" s="1" t="s">
        <v>113</v>
      </c>
      <c r="F69" s="1" t="s">
        <v>99</v>
      </c>
      <c r="G69" s="1"/>
      <c r="H69" s="2" t="s">
        <v>342</v>
      </c>
      <c r="I69" t="s">
        <v>112</v>
      </c>
      <c r="K69" s="1">
        <v>4</v>
      </c>
      <c r="L69">
        <f t="shared" si="0"/>
        <v>0.5</v>
      </c>
      <c r="M69">
        <f t="shared" si="1"/>
        <v>2.5000000000000001E-2</v>
      </c>
    </row>
    <row r="70" spans="1:13" x14ac:dyDescent="0.35">
      <c r="A70" s="13" t="s">
        <v>1</v>
      </c>
      <c r="B70" s="1" t="s">
        <v>107</v>
      </c>
      <c r="C70" t="s">
        <v>308</v>
      </c>
      <c r="D70" t="s">
        <v>237</v>
      </c>
      <c r="E70" s="1" t="s">
        <v>114</v>
      </c>
      <c r="F70" s="1" t="s">
        <v>99</v>
      </c>
      <c r="G70" s="1"/>
      <c r="H70" s="2" t="s">
        <v>343</v>
      </c>
      <c r="I70" t="s">
        <v>116</v>
      </c>
      <c r="K70" s="1">
        <v>4</v>
      </c>
      <c r="L70">
        <f t="shared" ref="L70:L134" si="2">K70/8</f>
        <v>0.5</v>
      </c>
      <c r="M70">
        <f t="shared" ref="M70:M134" si="3">L70/20</f>
        <v>2.5000000000000001E-2</v>
      </c>
    </row>
    <row r="71" spans="1:13" x14ac:dyDescent="0.35">
      <c r="A71" s="13" t="s">
        <v>1</v>
      </c>
      <c r="B71" s="1" t="s">
        <v>107</v>
      </c>
      <c r="C71" t="s">
        <v>308</v>
      </c>
      <c r="D71" t="s">
        <v>237</v>
      </c>
      <c r="E71" s="1" t="s">
        <v>115</v>
      </c>
      <c r="F71" s="1" t="s">
        <v>99</v>
      </c>
      <c r="G71" s="1"/>
      <c r="H71" s="2" t="s">
        <v>344</v>
      </c>
      <c r="I71" t="s">
        <v>117</v>
      </c>
      <c r="K71" s="1">
        <v>4</v>
      </c>
      <c r="L71">
        <f t="shared" si="2"/>
        <v>0.5</v>
      </c>
      <c r="M71">
        <f t="shared" si="3"/>
        <v>2.5000000000000001E-2</v>
      </c>
    </row>
    <row r="72" spans="1:13" x14ac:dyDescent="0.35">
      <c r="A72" s="13" t="s">
        <v>1</v>
      </c>
      <c r="B72" s="1" t="s">
        <v>107</v>
      </c>
      <c r="C72" t="s">
        <v>308</v>
      </c>
      <c r="D72" t="s">
        <v>237</v>
      </c>
      <c r="E72" s="1" t="s">
        <v>118</v>
      </c>
      <c r="F72" s="1" t="s">
        <v>99</v>
      </c>
      <c r="G72" s="1"/>
      <c r="H72" s="2" t="s">
        <v>345</v>
      </c>
      <c r="I72" t="s">
        <v>121</v>
      </c>
      <c r="K72" s="1">
        <v>4</v>
      </c>
      <c r="L72">
        <f t="shared" si="2"/>
        <v>0.5</v>
      </c>
      <c r="M72">
        <f t="shared" si="3"/>
        <v>2.5000000000000001E-2</v>
      </c>
    </row>
    <row r="73" spans="1:13" x14ac:dyDescent="0.35">
      <c r="A73" s="13" t="s">
        <v>1</v>
      </c>
      <c r="B73" s="1" t="s">
        <v>107</v>
      </c>
      <c r="C73" t="s">
        <v>308</v>
      </c>
      <c r="D73" t="s">
        <v>237</v>
      </c>
      <c r="E73" s="1" t="s">
        <v>119</v>
      </c>
      <c r="F73" s="1" t="s">
        <v>99</v>
      </c>
      <c r="G73" s="1"/>
      <c r="H73" s="2" t="s">
        <v>346</v>
      </c>
      <c r="I73" t="s">
        <v>120</v>
      </c>
      <c r="K73" s="1">
        <v>24</v>
      </c>
      <c r="L73">
        <f t="shared" si="2"/>
        <v>3</v>
      </c>
      <c r="M73">
        <f t="shared" si="3"/>
        <v>0.15</v>
      </c>
    </row>
    <row r="74" spans="1:13" x14ac:dyDescent="0.35">
      <c r="A74" s="13" t="s">
        <v>1</v>
      </c>
      <c r="B74" s="1" t="s">
        <v>107</v>
      </c>
      <c r="C74" t="s">
        <v>308</v>
      </c>
      <c r="D74" t="s">
        <v>237</v>
      </c>
      <c r="E74" t="s">
        <v>21</v>
      </c>
      <c r="F74" s="49" t="s">
        <v>24</v>
      </c>
      <c r="H74" s="2" t="s">
        <v>347</v>
      </c>
      <c r="I74" t="s">
        <v>138</v>
      </c>
      <c r="K74" s="1">
        <v>4</v>
      </c>
      <c r="L74">
        <f t="shared" si="2"/>
        <v>0.5</v>
      </c>
      <c r="M74">
        <f t="shared" si="3"/>
        <v>2.5000000000000001E-2</v>
      </c>
    </row>
    <row r="75" spans="1:13" x14ac:dyDescent="0.35">
      <c r="A75" s="13" t="s">
        <v>1</v>
      </c>
      <c r="B75" s="1" t="s">
        <v>107</v>
      </c>
      <c r="C75" t="s">
        <v>308</v>
      </c>
      <c r="D75" t="s">
        <v>237</v>
      </c>
      <c r="E75" t="s">
        <v>21</v>
      </c>
      <c r="F75" t="s">
        <v>25</v>
      </c>
      <c r="H75" s="2" t="s">
        <v>348</v>
      </c>
      <c r="I75" t="s">
        <v>472</v>
      </c>
      <c r="K75" s="1">
        <v>24</v>
      </c>
      <c r="L75">
        <f t="shared" si="2"/>
        <v>3</v>
      </c>
      <c r="M75">
        <f t="shared" si="3"/>
        <v>0.15</v>
      </c>
    </row>
    <row r="76" spans="1:13" x14ac:dyDescent="0.35">
      <c r="A76" s="13" t="s">
        <v>1</v>
      </c>
      <c r="B76" s="1" t="s">
        <v>473</v>
      </c>
      <c r="C76" t="s">
        <v>308</v>
      </c>
      <c r="D76" t="s">
        <v>237</v>
      </c>
      <c r="E76" t="s">
        <v>21</v>
      </c>
      <c r="F76" t="s">
        <v>25</v>
      </c>
      <c r="H76" s="2" t="s">
        <v>349</v>
      </c>
      <c r="I76" t="s">
        <v>137</v>
      </c>
      <c r="K76" s="1">
        <v>4</v>
      </c>
      <c r="L76">
        <f t="shared" si="2"/>
        <v>0.5</v>
      </c>
      <c r="M76">
        <f t="shared" si="3"/>
        <v>2.5000000000000001E-2</v>
      </c>
    </row>
    <row r="77" spans="1:13" x14ac:dyDescent="0.35">
      <c r="A77" s="13" t="s">
        <v>1</v>
      </c>
      <c r="B77" s="1" t="s">
        <v>5</v>
      </c>
      <c r="C77" t="s">
        <v>308</v>
      </c>
      <c r="D77" t="s">
        <v>237</v>
      </c>
      <c r="E77" t="s">
        <v>21</v>
      </c>
      <c r="F77" t="s">
        <v>25</v>
      </c>
      <c r="H77" s="2" t="s">
        <v>349</v>
      </c>
      <c r="I77" t="s">
        <v>137</v>
      </c>
      <c r="K77" s="1">
        <v>24</v>
      </c>
      <c r="L77">
        <f t="shared" si="2"/>
        <v>3</v>
      </c>
      <c r="M77">
        <f t="shared" si="3"/>
        <v>0.15</v>
      </c>
    </row>
    <row r="78" spans="1:13" x14ac:dyDescent="0.35">
      <c r="A78" s="13" t="s">
        <v>1</v>
      </c>
      <c r="B78" s="1" t="s">
        <v>474</v>
      </c>
      <c r="C78" t="s">
        <v>308</v>
      </c>
      <c r="D78" t="s">
        <v>237</v>
      </c>
      <c r="E78" t="s">
        <v>21</v>
      </c>
      <c r="F78" t="s">
        <v>26</v>
      </c>
      <c r="H78" s="2" t="s">
        <v>350</v>
      </c>
      <c r="I78" t="s">
        <v>28</v>
      </c>
      <c r="K78" s="1">
        <v>4</v>
      </c>
      <c r="L78">
        <f t="shared" si="2"/>
        <v>0.5</v>
      </c>
      <c r="M78">
        <f t="shared" si="3"/>
        <v>2.5000000000000001E-2</v>
      </c>
    </row>
    <row r="79" spans="1:13" x14ac:dyDescent="0.35">
      <c r="A79" s="13" t="s">
        <v>1</v>
      </c>
      <c r="B79" s="1" t="s">
        <v>5</v>
      </c>
      <c r="C79" t="s">
        <v>308</v>
      </c>
      <c r="D79" t="s">
        <v>237</v>
      </c>
      <c r="E79" t="s">
        <v>21</v>
      </c>
      <c r="F79" t="s">
        <v>26</v>
      </c>
      <c r="H79" s="2" t="s">
        <v>350</v>
      </c>
      <c r="I79" t="s">
        <v>28</v>
      </c>
      <c r="K79" s="1">
        <v>8</v>
      </c>
      <c r="L79">
        <f t="shared" si="2"/>
        <v>1</v>
      </c>
      <c r="M79">
        <f t="shared" si="3"/>
        <v>0.05</v>
      </c>
    </row>
    <row r="80" spans="1:13" x14ac:dyDescent="0.35">
      <c r="A80" s="13" t="s">
        <v>1</v>
      </c>
      <c r="B80" s="1" t="s">
        <v>107</v>
      </c>
      <c r="C80" t="s">
        <v>308</v>
      </c>
      <c r="D80" t="s">
        <v>237</v>
      </c>
      <c r="E80" t="s">
        <v>27</v>
      </c>
      <c r="F80" s="49" t="s">
        <v>24</v>
      </c>
      <c r="H80" s="2" t="s">
        <v>351</v>
      </c>
      <c r="I80" t="s">
        <v>435</v>
      </c>
      <c r="K80" s="1">
        <v>4</v>
      </c>
      <c r="L80">
        <f t="shared" si="2"/>
        <v>0.5</v>
      </c>
      <c r="M80">
        <f t="shared" si="3"/>
        <v>2.5000000000000001E-2</v>
      </c>
    </row>
    <row r="81" spans="1:13" x14ac:dyDescent="0.35">
      <c r="A81" s="13" t="s">
        <v>1</v>
      </c>
      <c r="B81" s="1" t="s">
        <v>473</v>
      </c>
      <c r="C81" t="s">
        <v>308</v>
      </c>
      <c r="D81" t="s">
        <v>237</v>
      </c>
      <c r="E81" t="s">
        <v>27</v>
      </c>
      <c r="F81" t="s">
        <v>25</v>
      </c>
      <c r="H81" s="2" t="s">
        <v>351</v>
      </c>
      <c r="I81" t="s">
        <v>139</v>
      </c>
      <c r="K81">
        <v>4</v>
      </c>
      <c r="L81">
        <f t="shared" si="2"/>
        <v>0.5</v>
      </c>
      <c r="M81">
        <f t="shared" si="3"/>
        <v>2.5000000000000001E-2</v>
      </c>
    </row>
    <row r="82" spans="1:13" x14ac:dyDescent="0.35">
      <c r="A82" s="13" t="s">
        <v>1</v>
      </c>
      <c r="B82" s="1" t="s">
        <v>5</v>
      </c>
      <c r="C82" t="s">
        <v>308</v>
      </c>
      <c r="D82" t="s">
        <v>237</v>
      </c>
      <c r="E82" t="s">
        <v>27</v>
      </c>
      <c r="F82" t="s">
        <v>25</v>
      </c>
      <c r="H82" s="2" t="s">
        <v>351</v>
      </c>
      <c r="I82" t="s">
        <v>139</v>
      </c>
      <c r="K82">
        <v>24</v>
      </c>
      <c r="L82">
        <f t="shared" si="2"/>
        <v>3</v>
      </c>
      <c r="M82">
        <f t="shared" si="3"/>
        <v>0.15</v>
      </c>
    </row>
    <row r="83" spans="1:13" x14ac:dyDescent="0.35">
      <c r="A83" s="13" t="s">
        <v>1</v>
      </c>
      <c r="B83" s="1" t="s">
        <v>100</v>
      </c>
      <c r="C83" t="s">
        <v>308</v>
      </c>
      <c r="D83" t="s">
        <v>237</v>
      </c>
      <c r="E83" t="s">
        <v>27</v>
      </c>
      <c r="F83" t="s">
        <v>26</v>
      </c>
      <c r="H83" s="2" t="s">
        <v>352</v>
      </c>
      <c r="I83" t="s">
        <v>140</v>
      </c>
      <c r="K83" s="1">
        <v>8</v>
      </c>
      <c r="L83">
        <f t="shared" si="2"/>
        <v>1</v>
      </c>
      <c r="M83">
        <f t="shared" si="3"/>
        <v>0.05</v>
      </c>
    </row>
    <row r="84" spans="1:13" x14ac:dyDescent="0.35">
      <c r="A84" s="12" t="s">
        <v>182</v>
      </c>
      <c r="B84" s="1" t="s">
        <v>247</v>
      </c>
      <c r="C84" t="s">
        <v>429</v>
      </c>
      <c r="D84" t="s">
        <v>221</v>
      </c>
      <c r="E84" t="s">
        <v>62</v>
      </c>
      <c r="F84" s="1"/>
      <c r="G84" s="1"/>
      <c r="I84" t="s">
        <v>433</v>
      </c>
      <c r="K84">
        <v>8</v>
      </c>
      <c r="L84">
        <f t="shared" si="2"/>
        <v>1</v>
      </c>
      <c r="M84">
        <f t="shared" si="3"/>
        <v>0.05</v>
      </c>
    </row>
    <row r="85" spans="1:13" x14ac:dyDescent="0.35">
      <c r="A85" s="12" t="s">
        <v>182</v>
      </c>
      <c r="B85" s="1" t="s">
        <v>247</v>
      </c>
      <c r="C85" t="s">
        <v>429</v>
      </c>
      <c r="D85" t="s">
        <v>221</v>
      </c>
      <c r="E85" t="s">
        <v>88</v>
      </c>
      <c r="F85" s="1"/>
      <c r="G85" s="1"/>
      <c r="I85" t="s">
        <v>249</v>
      </c>
      <c r="K85">
        <v>8</v>
      </c>
      <c r="L85">
        <f t="shared" si="2"/>
        <v>1</v>
      </c>
      <c r="M85">
        <f t="shared" si="3"/>
        <v>0.05</v>
      </c>
    </row>
    <row r="86" spans="1:13" x14ac:dyDescent="0.35">
      <c r="A86" s="12" t="s">
        <v>182</v>
      </c>
      <c r="B86" s="1" t="s">
        <v>247</v>
      </c>
      <c r="C86" t="s">
        <v>429</v>
      </c>
      <c r="D86" t="s">
        <v>221</v>
      </c>
      <c r="E86" t="s">
        <v>248</v>
      </c>
      <c r="F86" s="1"/>
      <c r="G86" s="1"/>
      <c r="I86" t="s">
        <v>250</v>
      </c>
      <c r="K86">
        <v>8</v>
      </c>
      <c r="L86">
        <f t="shared" si="2"/>
        <v>1</v>
      </c>
      <c r="M86">
        <f t="shared" si="3"/>
        <v>0.05</v>
      </c>
    </row>
    <row r="87" spans="1:13" x14ac:dyDescent="0.35">
      <c r="A87" s="12" t="s">
        <v>182</v>
      </c>
      <c r="B87" s="1" t="s">
        <v>247</v>
      </c>
      <c r="C87" t="s">
        <v>429</v>
      </c>
      <c r="D87" t="s">
        <v>221</v>
      </c>
      <c r="E87" t="s">
        <v>269</v>
      </c>
      <c r="F87" s="1"/>
      <c r="G87" s="1"/>
      <c r="I87" t="s">
        <v>268</v>
      </c>
      <c r="K87">
        <v>16</v>
      </c>
      <c r="L87">
        <f t="shared" si="2"/>
        <v>2</v>
      </c>
      <c r="M87">
        <f t="shared" si="3"/>
        <v>0.1</v>
      </c>
    </row>
    <row r="88" spans="1:13" x14ac:dyDescent="0.35">
      <c r="A88" s="12" t="s">
        <v>182</v>
      </c>
      <c r="B88" s="1" t="s">
        <v>247</v>
      </c>
      <c r="C88" t="s">
        <v>429</v>
      </c>
      <c r="D88" t="s">
        <v>221</v>
      </c>
      <c r="E88" t="s">
        <v>269</v>
      </c>
      <c r="F88" s="1"/>
      <c r="G88" s="1"/>
      <c r="I88" s="52" t="s">
        <v>327</v>
      </c>
      <c r="J88" s="52">
        <v>1</v>
      </c>
      <c r="K88">
        <v>4</v>
      </c>
      <c r="L88">
        <f t="shared" si="2"/>
        <v>0.5</v>
      </c>
      <c r="M88">
        <f t="shared" si="3"/>
        <v>2.5000000000000001E-2</v>
      </c>
    </row>
    <row r="89" spans="1:13" x14ac:dyDescent="0.35">
      <c r="A89" s="12" t="s">
        <v>182</v>
      </c>
      <c r="B89" s="1" t="s">
        <v>247</v>
      </c>
      <c r="C89" t="s">
        <v>429</v>
      </c>
      <c r="D89" t="s">
        <v>221</v>
      </c>
      <c r="E89" t="s">
        <v>269</v>
      </c>
      <c r="F89" s="1"/>
      <c r="G89" s="1"/>
      <c r="I89" s="52" t="s">
        <v>271</v>
      </c>
      <c r="J89" s="52">
        <v>1</v>
      </c>
      <c r="K89">
        <v>4</v>
      </c>
      <c r="L89">
        <f t="shared" si="2"/>
        <v>0.5</v>
      </c>
      <c r="M89">
        <f t="shared" si="3"/>
        <v>2.5000000000000001E-2</v>
      </c>
    </row>
    <row r="90" spans="1:13" x14ac:dyDescent="0.35">
      <c r="A90" s="12" t="s">
        <v>182</v>
      </c>
      <c r="B90" s="1" t="s">
        <v>247</v>
      </c>
      <c r="C90" t="s">
        <v>429</v>
      </c>
      <c r="D90" t="s">
        <v>221</v>
      </c>
      <c r="E90" t="s">
        <v>201</v>
      </c>
      <c r="F90" s="1"/>
      <c r="G90" s="1"/>
      <c r="I90" s="52" t="s">
        <v>276</v>
      </c>
      <c r="J90" s="52">
        <v>1</v>
      </c>
      <c r="K90">
        <v>16</v>
      </c>
      <c r="L90">
        <f t="shared" si="2"/>
        <v>2</v>
      </c>
      <c r="M90">
        <f t="shared" si="3"/>
        <v>0.1</v>
      </c>
    </row>
    <row r="91" spans="1:13" x14ac:dyDescent="0.35">
      <c r="A91" s="12" t="s">
        <v>182</v>
      </c>
      <c r="B91" s="1" t="s">
        <v>247</v>
      </c>
      <c r="C91" t="s">
        <v>429</v>
      </c>
      <c r="D91" t="s">
        <v>221</v>
      </c>
      <c r="E91" t="s">
        <v>141</v>
      </c>
      <c r="F91" s="1"/>
      <c r="G91" s="1"/>
      <c r="I91" t="s">
        <v>277</v>
      </c>
      <c r="K91">
        <v>8</v>
      </c>
      <c r="L91">
        <f t="shared" si="2"/>
        <v>1</v>
      </c>
      <c r="M91">
        <f t="shared" si="3"/>
        <v>0.05</v>
      </c>
    </row>
    <row r="92" spans="1:13" x14ac:dyDescent="0.35">
      <c r="A92" s="12" t="s">
        <v>182</v>
      </c>
      <c r="B92" s="1" t="s">
        <v>247</v>
      </c>
      <c r="C92" t="s">
        <v>429</v>
      </c>
      <c r="D92" t="s">
        <v>221</v>
      </c>
      <c r="E92" t="s">
        <v>222</v>
      </c>
      <c r="F92" s="1"/>
      <c r="G92" s="1"/>
      <c r="I92" t="s">
        <v>251</v>
      </c>
      <c r="K92">
        <v>8</v>
      </c>
      <c r="L92">
        <f t="shared" si="2"/>
        <v>1</v>
      </c>
      <c r="M92">
        <f t="shared" si="3"/>
        <v>0.05</v>
      </c>
    </row>
    <row r="93" spans="1:13" x14ac:dyDescent="0.35">
      <c r="A93" s="12" t="s">
        <v>182</v>
      </c>
      <c r="B93" s="1" t="s">
        <v>247</v>
      </c>
      <c r="C93" t="s">
        <v>429</v>
      </c>
      <c r="D93" t="s">
        <v>221</v>
      </c>
      <c r="E93" t="s">
        <v>252</v>
      </c>
      <c r="F93" s="1"/>
      <c r="G93" s="1"/>
      <c r="I93" t="s">
        <v>253</v>
      </c>
      <c r="K93">
        <v>8</v>
      </c>
      <c r="L93">
        <f t="shared" si="2"/>
        <v>1</v>
      </c>
      <c r="M93">
        <f t="shared" si="3"/>
        <v>0.05</v>
      </c>
    </row>
    <row r="94" spans="1:13" x14ac:dyDescent="0.35">
      <c r="A94" s="12" t="s">
        <v>182</v>
      </c>
      <c r="B94" s="1" t="s">
        <v>247</v>
      </c>
      <c r="C94" t="s">
        <v>429</v>
      </c>
      <c r="D94" t="s">
        <v>221</v>
      </c>
      <c r="E94" t="s">
        <v>252</v>
      </c>
      <c r="F94" s="1"/>
      <c r="G94" s="1"/>
      <c r="I94" t="s">
        <v>256</v>
      </c>
      <c r="K94">
        <v>4</v>
      </c>
      <c r="L94">
        <f t="shared" si="2"/>
        <v>0.5</v>
      </c>
      <c r="M94">
        <f t="shared" si="3"/>
        <v>2.5000000000000001E-2</v>
      </c>
    </row>
    <row r="95" spans="1:13" x14ac:dyDescent="0.35">
      <c r="A95" s="12" t="s">
        <v>182</v>
      </c>
      <c r="B95" s="1" t="s">
        <v>247</v>
      </c>
      <c r="C95" t="s">
        <v>429</v>
      </c>
      <c r="D95" t="s">
        <v>221</v>
      </c>
      <c r="E95" t="s">
        <v>259</v>
      </c>
      <c r="F95" s="1"/>
      <c r="G95" s="1"/>
      <c r="I95" s="52" t="s">
        <v>255</v>
      </c>
      <c r="J95">
        <v>1</v>
      </c>
      <c r="K95">
        <v>8</v>
      </c>
      <c r="L95">
        <f t="shared" si="2"/>
        <v>1</v>
      </c>
      <c r="M95">
        <f t="shared" si="3"/>
        <v>0.05</v>
      </c>
    </row>
    <row r="96" spans="1:13" x14ac:dyDescent="0.35">
      <c r="A96" s="12" t="s">
        <v>182</v>
      </c>
      <c r="B96" s="1" t="s">
        <v>247</v>
      </c>
      <c r="C96" t="s">
        <v>429</v>
      </c>
      <c r="D96" t="s">
        <v>221</v>
      </c>
      <c r="E96" t="s">
        <v>260</v>
      </c>
      <c r="F96" s="1"/>
      <c r="G96" s="1"/>
      <c r="I96" t="s">
        <v>257</v>
      </c>
      <c r="K96">
        <v>8</v>
      </c>
      <c r="L96">
        <f t="shared" si="2"/>
        <v>1</v>
      </c>
      <c r="M96">
        <f t="shared" si="3"/>
        <v>0.05</v>
      </c>
    </row>
    <row r="97" spans="1:13" x14ac:dyDescent="0.35">
      <c r="A97" s="12" t="s">
        <v>182</v>
      </c>
      <c r="B97" s="1" t="s">
        <v>247</v>
      </c>
      <c r="C97" t="s">
        <v>429</v>
      </c>
      <c r="D97" t="s">
        <v>221</v>
      </c>
      <c r="E97" t="s">
        <v>260</v>
      </c>
      <c r="F97" s="1"/>
      <c r="G97" s="1"/>
      <c r="I97" t="s">
        <v>434</v>
      </c>
      <c r="K97">
        <v>24</v>
      </c>
      <c r="L97">
        <f t="shared" si="2"/>
        <v>3</v>
      </c>
      <c r="M97">
        <f t="shared" si="3"/>
        <v>0.15</v>
      </c>
    </row>
    <row r="98" spans="1:13" x14ac:dyDescent="0.35">
      <c r="A98" s="12" t="s">
        <v>182</v>
      </c>
      <c r="B98" s="1" t="s">
        <v>247</v>
      </c>
      <c r="C98" t="s">
        <v>429</v>
      </c>
      <c r="D98" t="s">
        <v>221</v>
      </c>
      <c r="E98" t="s">
        <v>260</v>
      </c>
      <c r="F98" s="1"/>
      <c r="G98" s="1"/>
      <c r="I98" t="s">
        <v>258</v>
      </c>
      <c r="K98">
        <v>16</v>
      </c>
      <c r="L98">
        <f t="shared" si="2"/>
        <v>2</v>
      </c>
      <c r="M98">
        <f t="shared" si="3"/>
        <v>0.1</v>
      </c>
    </row>
    <row r="99" spans="1:13" x14ac:dyDescent="0.35">
      <c r="A99" s="12" t="s">
        <v>182</v>
      </c>
      <c r="B99" s="1" t="s">
        <v>247</v>
      </c>
      <c r="C99" t="s">
        <v>429</v>
      </c>
      <c r="D99" t="s">
        <v>221</v>
      </c>
      <c r="E99" t="s">
        <v>260</v>
      </c>
      <c r="F99" s="1"/>
      <c r="G99" s="1"/>
      <c r="I99" t="s">
        <v>358</v>
      </c>
      <c r="K99">
        <v>8</v>
      </c>
      <c r="L99">
        <f t="shared" si="2"/>
        <v>1</v>
      </c>
      <c r="M99">
        <f t="shared" si="3"/>
        <v>0.05</v>
      </c>
    </row>
    <row r="100" spans="1:13" x14ac:dyDescent="0.35">
      <c r="A100" s="12" t="s">
        <v>182</v>
      </c>
      <c r="B100" s="1" t="s">
        <v>247</v>
      </c>
      <c r="C100" t="s">
        <v>429</v>
      </c>
      <c r="D100" t="s">
        <v>179</v>
      </c>
      <c r="E100" t="s">
        <v>261</v>
      </c>
      <c r="F100" s="1"/>
      <c r="G100" s="1"/>
      <c r="I100" s="52" t="s">
        <v>262</v>
      </c>
      <c r="J100">
        <v>1</v>
      </c>
      <c r="K100">
        <v>4</v>
      </c>
      <c r="L100">
        <f t="shared" si="2"/>
        <v>0.5</v>
      </c>
      <c r="M100">
        <f t="shared" si="3"/>
        <v>2.5000000000000001E-2</v>
      </c>
    </row>
    <row r="101" spans="1:13" x14ac:dyDescent="0.35">
      <c r="A101" s="12" t="s">
        <v>182</v>
      </c>
      <c r="B101" s="1" t="s">
        <v>247</v>
      </c>
      <c r="C101" t="s">
        <v>429</v>
      </c>
      <c r="D101" t="s">
        <v>179</v>
      </c>
      <c r="E101" t="s">
        <v>261</v>
      </c>
      <c r="F101" s="1"/>
      <c r="G101" s="1"/>
      <c r="I101" s="52" t="s">
        <v>263</v>
      </c>
      <c r="J101">
        <v>1</v>
      </c>
      <c r="K101">
        <v>4</v>
      </c>
      <c r="L101">
        <f t="shared" si="2"/>
        <v>0.5</v>
      </c>
      <c r="M101">
        <f t="shared" si="3"/>
        <v>2.5000000000000001E-2</v>
      </c>
    </row>
    <row r="102" spans="1:13" x14ac:dyDescent="0.35">
      <c r="A102" s="12" t="s">
        <v>182</v>
      </c>
      <c r="B102" s="1" t="s">
        <v>247</v>
      </c>
      <c r="C102" t="s">
        <v>429</v>
      </c>
      <c r="D102" t="s">
        <v>221</v>
      </c>
      <c r="E102" t="s">
        <v>410</v>
      </c>
      <c r="F102" s="1"/>
      <c r="G102" s="1"/>
      <c r="I102" t="s">
        <v>411</v>
      </c>
      <c r="K102">
        <v>8</v>
      </c>
      <c r="L102">
        <f t="shared" si="2"/>
        <v>1</v>
      </c>
      <c r="M102">
        <f t="shared" si="3"/>
        <v>0.05</v>
      </c>
    </row>
    <row r="103" spans="1:13" x14ac:dyDescent="0.35">
      <c r="A103" s="12" t="s">
        <v>182</v>
      </c>
      <c r="B103" s="1" t="s">
        <v>247</v>
      </c>
      <c r="C103" t="s">
        <v>429</v>
      </c>
      <c r="D103" t="s">
        <v>221</v>
      </c>
      <c r="E103" t="s">
        <v>409</v>
      </c>
      <c r="F103" s="1"/>
      <c r="G103" s="1"/>
      <c r="I103" t="s">
        <v>356</v>
      </c>
      <c r="K103">
        <v>8</v>
      </c>
      <c r="L103">
        <f t="shared" si="2"/>
        <v>1</v>
      </c>
      <c r="M103">
        <f t="shared" si="3"/>
        <v>0.05</v>
      </c>
    </row>
    <row r="104" spans="1:13" x14ac:dyDescent="0.35">
      <c r="A104" s="12" t="s">
        <v>182</v>
      </c>
      <c r="B104" s="1" t="s">
        <v>247</v>
      </c>
      <c r="C104" t="s">
        <v>429</v>
      </c>
      <c r="D104" t="s">
        <v>154</v>
      </c>
      <c r="E104" t="s">
        <v>269</v>
      </c>
      <c r="F104" s="1"/>
      <c r="G104" s="1"/>
      <c r="I104" t="s">
        <v>273</v>
      </c>
      <c r="K104">
        <v>8</v>
      </c>
      <c r="L104">
        <f t="shared" si="2"/>
        <v>1</v>
      </c>
      <c r="M104">
        <f t="shared" si="3"/>
        <v>0.05</v>
      </c>
    </row>
    <row r="105" spans="1:13" x14ac:dyDescent="0.35">
      <c r="A105" s="12" t="s">
        <v>182</v>
      </c>
      <c r="B105" s="1" t="s">
        <v>247</v>
      </c>
      <c r="C105" t="s">
        <v>429</v>
      </c>
      <c r="D105" t="s">
        <v>154</v>
      </c>
      <c r="E105" t="s">
        <v>269</v>
      </c>
      <c r="F105" s="1"/>
      <c r="I105" t="s">
        <v>265</v>
      </c>
      <c r="K105">
        <v>8</v>
      </c>
      <c r="L105">
        <f t="shared" si="2"/>
        <v>1</v>
      </c>
      <c r="M105">
        <f t="shared" si="3"/>
        <v>0.05</v>
      </c>
    </row>
    <row r="106" spans="1:13" x14ac:dyDescent="0.35">
      <c r="A106" s="12" t="s">
        <v>182</v>
      </c>
      <c r="B106" s="1" t="s">
        <v>247</v>
      </c>
      <c r="C106" t="s">
        <v>429</v>
      </c>
      <c r="D106" t="s">
        <v>154</v>
      </c>
      <c r="E106" t="s">
        <v>269</v>
      </c>
      <c r="F106" s="1"/>
      <c r="I106" t="s">
        <v>328</v>
      </c>
      <c r="K106">
        <v>40</v>
      </c>
      <c r="L106">
        <f t="shared" si="2"/>
        <v>5</v>
      </c>
      <c r="M106">
        <f t="shared" si="3"/>
        <v>0.25</v>
      </c>
    </row>
    <row r="107" spans="1:13" x14ac:dyDescent="0.35">
      <c r="A107" s="12" t="s">
        <v>182</v>
      </c>
      <c r="B107" s="1" t="s">
        <v>247</v>
      </c>
      <c r="C107" t="s">
        <v>429</v>
      </c>
      <c r="D107" t="s">
        <v>154</v>
      </c>
      <c r="E107" t="s">
        <v>269</v>
      </c>
      <c r="F107" s="1"/>
      <c r="I107" t="s">
        <v>264</v>
      </c>
      <c r="K107">
        <v>16</v>
      </c>
      <c r="L107">
        <f t="shared" si="2"/>
        <v>2</v>
      </c>
      <c r="M107">
        <f t="shared" si="3"/>
        <v>0.1</v>
      </c>
    </row>
    <row r="108" spans="1:13" x14ac:dyDescent="0.35">
      <c r="A108" s="37" t="s">
        <v>396</v>
      </c>
      <c r="B108" s="1" t="s">
        <v>466</v>
      </c>
      <c r="C108" t="s">
        <v>429</v>
      </c>
      <c r="D108" t="s">
        <v>179</v>
      </c>
      <c r="E108" t="s">
        <v>475</v>
      </c>
      <c r="F108" s="1"/>
      <c r="G108" s="1"/>
      <c r="I108" t="s">
        <v>476</v>
      </c>
      <c r="K108">
        <v>4</v>
      </c>
      <c r="L108">
        <f t="shared" si="2"/>
        <v>0.5</v>
      </c>
      <c r="M108">
        <f t="shared" si="3"/>
        <v>2.5000000000000001E-2</v>
      </c>
    </row>
    <row r="109" spans="1:13" x14ac:dyDescent="0.35">
      <c r="A109" s="37" t="s">
        <v>396</v>
      </c>
      <c r="B109" s="1" t="s">
        <v>466</v>
      </c>
      <c r="C109" t="s">
        <v>429</v>
      </c>
      <c r="D109" t="s">
        <v>179</v>
      </c>
      <c r="E109" t="s">
        <v>475</v>
      </c>
      <c r="F109" s="1"/>
      <c r="G109" s="1"/>
      <c r="I109" t="s">
        <v>398</v>
      </c>
      <c r="K109">
        <v>4</v>
      </c>
      <c r="L109">
        <f t="shared" si="2"/>
        <v>0.5</v>
      </c>
      <c r="M109">
        <f t="shared" si="3"/>
        <v>2.5000000000000001E-2</v>
      </c>
    </row>
    <row r="110" spans="1:13" x14ac:dyDescent="0.35">
      <c r="A110" s="37" t="s">
        <v>396</v>
      </c>
      <c r="B110" s="1" t="s">
        <v>466</v>
      </c>
      <c r="C110" t="s">
        <v>429</v>
      </c>
      <c r="D110" t="s">
        <v>179</v>
      </c>
      <c r="E110" t="s">
        <v>395</v>
      </c>
      <c r="F110" s="1"/>
      <c r="G110" s="1"/>
      <c r="I110" t="s">
        <v>394</v>
      </c>
      <c r="K110">
        <v>4</v>
      </c>
      <c r="L110">
        <f t="shared" si="2"/>
        <v>0.5</v>
      </c>
      <c r="M110">
        <f t="shared" si="3"/>
        <v>2.5000000000000001E-2</v>
      </c>
    </row>
    <row r="111" spans="1:13" x14ac:dyDescent="0.35">
      <c r="A111" s="37" t="s">
        <v>396</v>
      </c>
      <c r="B111" s="1" t="s">
        <v>466</v>
      </c>
      <c r="C111" t="s">
        <v>429</v>
      </c>
      <c r="D111" t="s">
        <v>179</v>
      </c>
      <c r="E111" t="s">
        <v>395</v>
      </c>
      <c r="F111" s="1"/>
      <c r="G111" s="1"/>
      <c r="I111" t="s">
        <v>357</v>
      </c>
      <c r="K111">
        <v>8</v>
      </c>
      <c r="L111">
        <f t="shared" si="2"/>
        <v>1</v>
      </c>
      <c r="M111">
        <f t="shared" si="3"/>
        <v>0.05</v>
      </c>
    </row>
    <row r="112" spans="1:13" x14ac:dyDescent="0.35">
      <c r="A112" s="37" t="s">
        <v>396</v>
      </c>
      <c r="B112" s="1" t="s">
        <v>466</v>
      </c>
      <c r="C112" t="s">
        <v>429</v>
      </c>
      <c r="D112" t="s">
        <v>179</v>
      </c>
      <c r="E112" t="s">
        <v>399</v>
      </c>
      <c r="F112" s="1"/>
      <c r="G112" s="1"/>
      <c r="I112" t="s">
        <v>400</v>
      </c>
      <c r="K112">
        <v>8</v>
      </c>
      <c r="L112">
        <f t="shared" si="2"/>
        <v>1</v>
      </c>
      <c r="M112">
        <f t="shared" si="3"/>
        <v>0.05</v>
      </c>
    </row>
    <row r="113" spans="1:13" x14ac:dyDescent="0.35">
      <c r="A113" s="37" t="s">
        <v>396</v>
      </c>
      <c r="B113" s="1" t="s">
        <v>466</v>
      </c>
      <c r="C113" t="s">
        <v>429</v>
      </c>
      <c r="D113" t="s">
        <v>179</v>
      </c>
      <c r="E113" t="s">
        <v>401</v>
      </c>
      <c r="F113" s="1"/>
      <c r="G113" s="1"/>
      <c r="I113" s="52" t="s">
        <v>470</v>
      </c>
      <c r="J113">
        <v>1</v>
      </c>
      <c r="K113">
        <v>16</v>
      </c>
      <c r="L113">
        <f t="shared" si="2"/>
        <v>2</v>
      </c>
      <c r="M113">
        <f t="shared" si="3"/>
        <v>0.1</v>
      </c>
    </row>
    <row r="114" spans="1:13" x14ac:dyDescent="0.35">
      <c r="A114" s="13" t="s">
        <v>1</v>
      </c>
      <c r="B114" s="1" t="s">
        <v>274</v>
      </c>
      <c r="C114" t="s">
        <v>429</v>
      </c>
      <c r="D114" t="s">
        <v>154</v>
      </c>
      <c r="E114" t="s">
        <v>269</v>
      </c>
      <c r="F114" s="1"/>
      <c r="I114" t="s">
        <v>328</v>
      </c>
      <c r="K114">
        <v>40</v>
      </c>
      <c r="L114">
        <f t="shared" si="2"/>
        <v>5</v>
      </c>
      <c r="M114">
        <f t="shared" si="3"/>
        <v>0.25</v>
      </c>
    </row>
    <row r="115" spans="1:13" x14ac:dyDescent="0.35">
      <c r="A115" s="13" t="s">
        <v>1</v>
      </c>
      <c r="B115" s="1" t="s">
        <v>274</v>
      </c>
      <c r="C115" t="s">
        <v>429</v>
      </c>
      <c r="D115" t="s">
        <v>237</v>
      </c>
      <c r="E115" t="s">
        <v>62</v>
      </c>
      <c r="F115" s="1"/>
      <c r="G115" s="1"/>
      <c r="I115" t="s">
        <v>275</v>
      </c>
      <c r="K115">
        <v>8</v>
      </c>
      <c r="L115">
        <f t="shared" si="2"/>
        <v>1</v>
      </c>
      <c r="M115">
        <f t="shared" si="3"/>
        <v>0.05</v>
      </c>
    </row>
    <row r="116" spans="1:13" x14ac:dyDescent="0.35">
      <c r="A116" s="13" t="s">
        <v>1</v>
      </c>
      <c r="B116" s="1" t="s">
        <v>274</v>
      </c>
      <c r="C116" t="s">
        <v>429</v>
      </c>
      <c r="D116" t="s">
        <v>237</v>
      </c>
      <c r="E116" t="s">
        <v>88</v>
      </c>
      <c r="F116" s="1"/>
      <c r="G116" s="1"/>
      <c r="I116" t="s">
        <v>249</v>
      </c>
      <c r="K116">
        <v>8</v>
      </c>
      <c r="L116">
        <f t="shared" si="2"/>
        <v>1</v>
      </c>
      <c r="M116">
        <f t="shared" si="3"/>
        <v>0.05</v>
      </c>
    </row>
    <row r="117" spans="1:13" x14ac:dyDescent="0.35">
      <c r="A117" s="13" t="s">
        <v>1</v>
      </c>
      <c r="B117" s="1" t="s">
        <v>274</v>
      </c>
      <c r="C117" t="s">
        <v>429</v>
      </c>
      <c r="D117" t="s">
        <v>237</v>
      </c>
      <c r="E117" t="s">
        <v>248</v>
      </c>
      <c r="F117" s="1"/>
      <c r="G117" s="1"/>
      <c r="I117" t="s">
        <v>250</v>
      </c>
      <c r="K117">
        <v>8</v>
      </c>
      <c r="L117">
        <f t="shared" si="2"/>
        <v>1</v>
      </c>
      <c r="M117">
        <f t="shared" si="3"/>
        <v>0.05</v>
      </c>
    </row>
    <row r="118" spans="1:13" x14ac:dyDescent="0.35">
      <c r="A118" s="13" t="s">
        <v>1</v>
      </c>
      <c r="B118" s="1" t="s">
        <v>274</v>
      </c>
      <c r="C118" t="s">
        <v>429</v>
      </c>
      <c r="D118" t="s">
        <v>237</v>
      </c>
      <c r="E118" t="s">
        <v>269</v>
      </c>
      <c r="F118" s="1"/>
      <c r="G118" s="1"/>
      <c r="I118" t="s">
        <v>268</v>
      </c>
      <c r="K118">
        <v>16</v>
      </c>
      <c r="L118">
        <f t="shared" si="2"/>
        <v>2</v>
      </c>
      <c r="M118">
        <f t="shared" si="3"/>
        <v>0.1</v>
      </c>
    </row>
    <row r="119" spans="1:13" x14ac:dyDescent="0.35">
      <c r="A119" s="13" t="s">
        <v>1</v>
      </c>
      <c r="B119" s="1" t="s">
        <v>274</v>
      </c>
      <c r="C119" t="s">
        <v>429</v>
      </c>
      <c r="D119" t="s">
        <v>237</v>
      </c>
      <c r="E119" t="s">
        <v>269</v>
      </c>
      <c r="F119" s="1"/>
      <c r="G119" s="1"/>
      <c r="I119" t="s">
        <v>309</v>
      </c>
      <c r="K119">
        <v>8</v>
      </c>
      <c r="L119">
        <f t="shared" si="2"/>
        <v>1</v>
      </c>
      <c r="M119">
        <f t="shared" si="3"/>
        <v>0.05</v>
      </c>
    </row>
    <row r="120" spans="1:13" x14ac:dyDescent="0.35">
      <c r="A120" s="13" t="s">
        <v>1</v>
      </c>
      <c r="B120" s="1" t="s">
        <v>274</v>
      </c>
      <c r="C120" t="s">
        <v>429</v>
      </c>
      <c r="D120" t="s">
        <v>237</v>
      </c>
      <c r="E120" t="s">
        <v>269</v>
      </c>
      <c r="F120" s="1"/>
      <c r="G120" s="1"/>
      <c r="I120" t="s">
        <v>270</v>
      </c>
      <c r="K120">
        <v>4</v>
      </c>
      <c r="L120">
        <f t="shared" si="2"/>
        <v>0.5</v>
      </c>
      <c r="M120">
        <f t="shared" si="3"/>
        <v>2.5000000000000001E-2</v>
      </c>
    </row>
    <row r="121" spans="1:13" x14ac:dyDescent="0.35">
      <c r="A121" s="13" t="s">
        <v>1</v>
      </c>
      <c r="B121" s="1" t="s">
        <v>274</v>
      </c>
      <c r="C121" t="s">
        <v>429</v>
      </c>
      <c r="D121" t="s">
        <v>237</v>
      </c>
      <c r="E121" t="s">
        <v>269</v>
      </c>
      <c r="F121" s="1"/>
      <c r="G121" s="1"/>
      <c r="I121" t="s">
        <v>271</v>
      </c>
      <c r="K121">
        <v>4</v>
      </c>
      <c r="L121">
        <f t="shared" si="2"/>
        <v>0.5</v>
      </c>
      <c r="M121">
        <f t="shared" si="3"/>
        <v>2.5000000000000001E-2</v>
      </c>
    </row>
    <row r="122" spans="1:13" x14ac:dyDescent="0.35">
      <c r="A122" s="13" t="s">
        <v>1</v>
      </c>
      <c r="B122" s="1" t="s">
        <v>274</v>
      </c>
      <c r="C122" t="s">
        <v>429</v>
      </c>
      <c r="D122" t="s">
        <v>237</v>
      </c>
      <c r="E122" t="s">
        <v>269</v>
      </c>
      <c r="F122" s="1"/>
      <c r="G122" s="1"/>
      <c r="I122" t="s">
        <v>278</v>
      </c>
      <c r="K122">
        <v>32</v>
      </c>
      <c r="L122">
        <f t="shared" si="2"/>
        <v>4</v>
      </c>
      <c r="M122">
        <f t="shared" si="3"/>
        <v>0.2</v>
      </c>
    </row>
    <row r="123" spans="1:13" x14ac:dyDescent="0.35">
      <c r="A123" s="13" t="s">
        <v>1</v>
      </c>
      <c r="B123" s="1" t="s">
        <v>274</v>
      </c>
      <c r="C123" t="s">
        <v>429</v>
      </c>
      <c r="D123" t="s">
        <v>237</v>
      </c>
      <c r="E123" t="s">
        <v>269</v>
      </c>
      <c r="F123" s="1"/>
      <c r="G123" s="1"/>
      <c r="I123" t="s">
        <v>280</v>
      </c>
      <c r="K123">
        <v>4</v>
      </c>
      <c r="L123">
        <f t="shared" si="2"/>
        <v>0.5</v>
      </c>
      <c r="M123">
        <f t="shared" si="3"/>
        <v>2.5000000000000001E-2</v>
      </c>
    </row>
    <row r="124" spans="1:13" x14ac:dyDescent="0.35">
      <c r="A124" s="13" t="s">
        <v>1</v>
      </c>
      <c r="B124" s="1" t="s">
        <v>274</v>
      </c>
      <c r="C124" t="s">
        <v>429</v>
      </c>
      <c r="D124" t="s">
        <v>237</v>
      </c>
      <c r="E124" t="s">
        <v>201</v>
      </c>
      <c r="F124" s="1"/>
      <c r="G124" s="1"/>
      <c r="I124" t="s">
        <v>276</v>
      </c>
      <c r="K124">
        <v>16</v>
      </c>
      <c r="L124">
        <f t="shared" si="2"/>
        <v>2</v>
      </c>
      <c r="M124">
        <f t="shared" si="3"/>
        <v>0.1</v>
      </c>
    </row>
    <row r="125" spans="1:13" x14ac:dyDescent="0.35">
      <c r="A125" s="13" t="s">
        <v>1</v>
      </c>
      <c r="B125" s="1" t="s">
        <v>274</v>
      </c>
      <c r="C125" t="s">
        <v>429</v>
      </c>
      <c r="D125" t="s">
        <v>237</v>
      </c>
      <c r="E125" t="s">
        <v>141</v>
      </c>
      <c r="F125" s="1"/>
      <c r="G125" s="1"/>
      <c r="I125" t="s">
        <v>277</v>
      </c>
      <c r="K125">
        <v>8</v>
      </c>
      <c r="L125">
        <f t="shared" si="2"/>
        <v>1</v>
      </c>
      <c r="M125">
        <f t="shared" si="3"/>
        <v>0.05</v>
      </c>
    </row>
    <row r="126" spans="1:13" x14ac:dyDescent="0.35">
      <c r="A126" s="13" t="s">
        <v>1</v>
      </c>
      <c r="B126" s="1" t="s">
        <v>274</v>
      </c>
      <c r="C126" t="s">
        <v>429</v>
      </c>
      <c r="D126" t="s">
        <v>237</v>
      </c>
      <c r="E126" s="1" t="s">
        <v>222</v>
      </c>
      <c r="F126" s="1"/>
      <c r="G126" s="1"/>
      <c r="I126" t="s">
        <v>279</v>
      </c>
      <c r="K126" s="1">
        <v>8</v>
      </c>
      <c r="L126">
        <f t="shared" si="2"/>
        <v>1</v>
      </c>
      <c r="M126">
        <f t="shared" si="3"/>
        <v>0.05</v>
      </c>
    </row>
    <row r="127" spans="1:13" x14ac:dyDescent="0.35">
      <c r="A127" s="13" t="s">
        <v>1</v>
      </c>
      <c r="B127" s="1" t="s">
        <v>274</v>
      </c>
      <c r="C127" t="s">
        <v>429</v>
      </c>
      <c r="D127" t="s">
        <v>237</v>
      </c>
      <c r="E127" t="s">
        <v>281</v>
      </c>
      <c r="F127" s="1"/>
      <c r="G127" s="1"/>
      <c r="I127" t="s">
        <v>254</v>
      </c>
      <c r="K127" s="1">
        <v>8</v>
      </c>
      <c r="L127">
        <f t="shared" si="2"/>
        <v>1</v>
      </c>
      <c r="M127">
        <f t="shared" si="3"/>
        <v>0.05</v>
      </c>
    </row>
    <row r="128" spans="1:13" x14ac:dyDescent="0.35">
      <c r="A128" s="13" t="s">
        <v>1</v>
      </c>
      <c r="B128" s="1" t="s">
        <v>274</v>
      </c>
      <c r="C128" t="s">
        <v>429</v>
      </c>
      <c r="D128" t="s">
        <v>237</v>
      </c>
      <c r="E128" t="s">
        <v>281</v>
      </c>
      <c r="F128" s="1"/>
      <c r="G128" s="1"/>
      <c r="I128" t="s">
        <v>253</v>
      </c>
      <c r="K128" s="1">
        <v>8</v>
      </c>
      <c r="L128">
        <f t="shared" si="2"/>
        <v>1</v>
      </c>
      <c r="M128">
        <f t="shared" si="3"/>
        <v>0.05</v>
      </c>
    </row>
    <row r="129" spans="1:13" x14ac:dyDescent="0.35">
      <c r="A129" s="13" t="s">
        <v>1</v>
      </c>
      <c r="B129" s="1" t="s">
        <v>274</v>
      </c>
      <c r="C129" t="s">
        <v>429</v>
      </c>
      <c r="D129" t="s">
        <v>237</v>
      </c>
      <c r="E129" t="s">
        <v>281</v>
      </c>
      <c r="F129" s="1"/>
      <c r="G129" s="1"/>
      <c r="I129" t="s">
        <v>282</v>
      </c>
      <c r="K129" s="1">
        <v>4</v>
      </c>
      <c r="L129">
        <f t="shared" si="2"/>
        <v>0.5</v>
      </c>
      <c r="M129">
        <f t="shared" si="3"/>
        <v>2.5000000000000001E-2</v>
      </c>
    </row>
    <row r="130" spans="1:13" x14ac:dyDescent="0.35">
      <c r="A130" s="13" t="s">
        <v>1</v>
      </c>
      <c r="B130" s="1" t="s">
        <v>274</v>
      </c>
      <c r="C130" t="s">
        <v>429</v>
      </c>
      <c r="D130" t="s">
        <v>237</v>
      </c>
      <c r="E130" s="1" t="s">
        <v>283</v>
      </c>
      <c r="F130" s="1"/>
      <c r="G130" s="1"/>
      <c r="I130" t="s">
        <v>289</v>
      </c>
      <c r="K130" s="1">
        <v>4</v>
      </c>
      <c r="L130">
        <f t="shared" si="2"/>
        <v>0.5</v>
      </c>
      <c r="M130">
        <f t="shared" si="3"/>
        <v>2.5000000000000001E-2</v>
      </c>
    </row>
    <row r="131" spans="1:13" x14ac:dyDescent="0.35">
      <c r="A131" s="13" t="s">
        <v>1</v>
      </c>
      <c r="B131" s="1" t="s">
        <v>274</v>
      </c>
      <c r="C131" t="s">
        <v>429</v>
      </c>
      <c r="D131" t="s">
        <v>237</v>
      </c>
      <c r="E131" s="1" t="s">
        <v>284</v>
      </c>
      <c r="F131" s="1"/>
      <c r="G131" s="1"/>
      <c r="I131" t="s">
        <v>291</v>
      </c>
      <c r="K131" s="1">
        <v>4</v>
      </c>
      <c r="L131">
        <f t="shared" si="2"/>
        <v>0.5</v>
      </c>
      <c r="M131">
        <f t="shared" si="3"/>
        <v>2.5000000000000001E-2</v>
      </c>
    </row>
    <row r="132" spans="1:13" x14ac:dyDescent="0.35">
      <c r="A132" s="13" t="s">
        <v>1</v>
      </c>
      <c r="B132" s="1" t="s">
        <v>274</v>
      </c>
      <c r="C132" t="s">
        <v>429</v>
      </c>
      <c r="D132" t="s">
        <v>237</v>
      </c>
      <c r="E132" s="1" t="s">
        <v>285</v>
      </c>
      <c r="F132" s="1"/>
      <c r="G132" s="1"/>
      <c r="I132" t="s">
        <v>290</v>
      </c>
      <c r="K132" s="1">
        <v>4</v>
      </c>
      <c r="L132">
        <f t="shared" si="2"/>
        <v>0.5</v>
      </c>
      <c r="M132">
        <f t="shared" si="3"/>
        <v>2.5000000000000001E-2</v>
      </c>
    </row>
    <row r="133" spans="1:13" x14ac:dyDescent="0.35">
      <c r="A133" s="13" t="s">
        <v>1</v>
      </c>
      <c r="B133" s="1" t="s">
        <v>274</v>
      </c>
      <c r="C133" t="s">
        <v>429</v>
      </c>
      <c r="D133" t="s">
        <v>237</v>
      </c>
      <c r="E133" s="1" t="s">
        <v>286</v>
      </c>
      <c r="F133" s="1"/>
      <c r="G133" s="1"/>
      <c r="I133" t="s">
        <v>293</v>
      </c>
      <c r="K133" s="1">
        <v>4</v>
      </c>
      <c r="L133">
        <f t="shared" si="2"/>
        <v>0.5</v>
      </c>
      <c r="M133">
        <f t="shared" si="3"/>
        <v>2.5000000000000001E-2</v>
      </c>
    </row>
    <row r="134" spans="1:13" x14ac:dyDescent="0.35">
      <c r="A134" s="13" t="s">
        <v>1</v>
      </c>
      <c r="B134" s="1" t="s">
        <v>274</v>
      </c>
      <c r="C134" t="s">
        <v>429</v>
      </c>
      <c r="D134" t="s">
        <v>237</v>
      </c>
      <c r="E134" s="1" t="s">
        <v>287</v>
      </c>
      <c r="F134" s="1"/>
      <c r="G134" s="1"/>
      <c r="I134" t="s">
        <v>292</v>
      </c>
      <c r="K134" s="1">
        <v>4</v>
      </c>
      <c r="L134">
        <f t="shared" si="2"/>
        <v>0.5</v>
      </c>
      <c r="M134">
        <f t="shared" si="3"/>
        <v>2.5000000000000001E-2</v>
      </c>
    </row>
    <row r="135" spans="1:13" x14ac:dyDescent="0.35">
      <c r="A135" s="13" t="s">
        <v>1</v>
      </c>
      <c r="B135" s="1" t="s">
        <v>274</v>
      </c>
      <c r="C135" t="s">
        <v>429</v>
      </c>
      <c r="D135" t="s">
        <v>237</v>
      </c>
      <c r="E135" s="1" t="s">
        <v>288</v>
      </c>
      <c r="F135" s="1"/>
      <c r="G135" s="1"/>
      <c r="I135" t="s">
        <v>294</v>
      </c>
      <c r="K135" s="1">
        <v>8</v>
      </c>
      <c r="L135">
        <f t="shared" ref="L135:L153" si="4">K135/8</f>
        <v>1</v>
      </c>
      <c r="M135">
        <f t="shared" ref="M135:M153" si="5">L135/20</f>
        <v>0.05</v>
      </c>
    </row>
    <row r="136" spans="1:13" x14ac:dyDescent="0.35">
      <c r="A136" s="13" t="s">
        <v>1</v>
      </c>
      <c r="B136" s="1" t="s">
        <v>274</v>
      </c>
      <c r="C136" t="s">
        <v>429</v>
      </c>
      <c r="D136" t="s">
        <v>237</v>
      </c>
      <c r="E136" s="1" t="s">
        <v>118</v>
      </c>
      <c r="F136" s="1"/>
      <c r="G136" s="1"/>
      <c r="I136" t="s">
        <v>295</v>
      </c>
      <c r="K136" s="1">
        <v>4</v>
      </c>
      <c r="L136">
        <f t="shared" si="4"/>
        <v>0.5</v>
      </c>
      <c r="M136">
        <f t="shared" si="5"/>
        <v>2.5000000000000001E-2</v>
      </c>
    </row>
    <row r="137" spans="1:13" x14ac:dyDescent="0.35">
      <c r="A137" s="13" t="s">
        <v>1</v>
      </c>
      <c r="B137" s="1" t="s">
        <v>274</v>
      </c>
      <c r="C137" t="s">
        <v>429</v>
      </c>
      <c r="D137" t="s">
        <v>237</v>
      </c>
      <c r="E137" s="1" t="s">
        <v>119</v>
      </c>
      <c r="F137" s="1"/>
      <c r="G137" s="1"/>
      <c r="I137" t="s">
        <v>296</v>
      </c>
      <c r="K137" s="1">
        <v>8</v>
      </c>
      <c r="L137">
        <f t="shared" si="4"/>
        <v>1</v>
      </c>
      <c r="M137">
        <f t="shared" si="5"/>
        <v>0.05</v>
      </c>
    </row>
    <row r="138" spans="1:13" x14ac:dyDescent="0.35">
      <c r="A138" s="13" t="s">
        <v>1</v>
      </c>
      <c r="B138" s="1" t="s">
        <v>274</v>
      </c>
      <c r="C138" t="s">
        <v>429</v>
      </c>
      <c r="D138" t="s">
        <v>237</v>
      </c>
      <c r="E138" t="s">
        <v>21</v>
      </c>
      <c r="I138" t="s">
        <v>304</v>
      </c>
      <c r="K138" s="1">
        <v>8</v>
      </c>
      <c r="L138">
        <f t="shared" si="4"/>
        <v>1</v>
      </c>
      <c r="M138">
        <f t="shared" si="5"/>
        <v>0.05</v>
      </c>
    </row>
    <row r="139" spans="1:13" x14ac:dyDescent="0.35">
      <c r="A139" s="13" t="s">
        <v>1</v>
      </c>
      <c r="B139" s="1" t="s">
        <v>274</v>
      </c>
      <c r="C139" t="s">
        <v>429</v>
      </c>
      <c r="D139" t="s">
        <v>237</v>
      </c>
      <c r="E139" t="s">
        <v>21</v>
      </c>
      <c r="I139" t="s">
        <v>297</v>
      </c>
      <c r="K139" s="1">
        <v>4</v>
      </c>
      <c r="L139">
        <f t="shared" si="4"/>
        <v>0.5</v>
      </c>
      <c r="M139">
        <f t="shared" si="5"/>
        <v>2.5000000000000001E-2</v>
      </c>
    </row>
    <row r="140" spans="1:13" x14ac:dyDescent="0.35">
      <c r="A140" s="13" t="s">
        <v>1</v>
      </c>
      <c r="B140" s="1" t="s">
        <v>274</v>
      </c>
      <c r="C140" t="s">
        <v>429</v>
      </c>
      <c r="D140" t="s">
        <v>237</v>
      </c>
      <c r="E140" t="s">
        <v>21</v>
      </c>
      <c r="I140" t="s">
        <v>298</v>
      </c>
      <c r="K140" s="1">
        <v>4</v>
      </c>
      <c r="L140">
        <f t="shared" si="4"/>
        <v>0.5</v>
      </c>
      <c r="M140">
        <f t="shared" si="5"/>
        <v>2.5000000000000001E-2</v>
      </c>
    </row>
    <row r="141" spans="1:13" x14ac:dyDescent="0.35">
      <c r="A141" s="13" t="s">
        <v>1</v>
      </c>
      <c r="B141" s="1" t="s">
        <v>274</v>
      </c>
      <c r="C141" t="s">
        <v>429</v>
      </c>
      <c r="D141" t="s">
        <v>237</v>
      </c>
      <c r="E141" t="s">
        <v>21</v>
      </c>
      <c r="I141" t="s">
        <v>299</v>
      </c>
      <c r="K141" s="1">
        <v>4</v>
      </c>
      <c r="L141">
        <f t="shared" si="4"/>
        <v>0.5</v>
      </c>
      <c r="M141">
        <f t="shared" si="5"/>
        <v>2.5000000000000001E-2</v>
      </c>
    </row>
    <row r="142" spans="1:13" x14ac:dyDescent="0.35">
      <c r="A142" s="13" t="s">
        <v>1</v>
      </c>
      <c r="B142" s="1" t="s">
        <v>274</v>
      </c>
      <c r="C142" t="s">
        <v>429</v>
      </c>
      <c r="D142" t="s">
        <v>237</v>
      </c>
      <c r="E142" t="s">
        <v>27</v>
      </c>
      <c r="I142" t="s">
        <v>305</v>
      </c>
      <c r="K142" s="1">
        <v>8</v>
      </c>
      <c r="L142">
        <f t="shared" si="4"/>
        <v>1</v>
      </c>
      <c r="M142">
        <f t="shared" si="5"/>
        <v>0.05</v>
      </c>
    </row>
    <row r="143" spans="1:13" x14ac:dyDescent="0.35">
      <c r="A143" s="13" t="s">
        <v>1</v>
      </c>
      <c r="B143" s="1" t="s">
        <v>274</v>
      </c>
      <c r="C143" t="s">
        <v>429</v>
      </c>
      <c r="D143" t="s">
        <v>237</v>
      </c>
      <c r="E143" t="s">
        <v>27</v>
      </c>
      <c r="I143" t="s">
        <v>306</v>
      </c>
      <c r="K143" s="1">
        <v>4</v>
      </c>
      <c r="L143">
        <f t="shared" si="4"/>
        <v>0.5</v>
      </c>
      <c r="M143">
        <f t="shared" si="5"/>
        <v>2.5000000000000001E-2</v>
      </c>
    </row>
    <row r="144" spans="1:13" x14ac:dyDescent="0.35">
      <c r="A144" s="13" t="s">
        <v>1</v>
      </c>
      <c r="B144" s="1" t="s">
        <v>274</v>
      </c>
      <c r="C144" t="s">
        <v>429</v>
      </c>
      <c r="D144" t="s">
        <v>237</v>
      </c>
      <c r="E144" t="s">
        <v>27</v>
      </c>
      <c r="I144" t="s">
        <v>307</v>
      </c>
      <c r="K144" s="1">
        <v>4</v>
      </c>
      <c r="L144">
        <f t="shared" si="4"/>
        <v>0.5</v>
      </c>
      <c r="M144">
        <f t="shared" si="5"/>
        <v>2.5000000000000001E-2</v>
      </c>
    </row>
    <row r="145" spans="1:13" x14ac:dyDescent="0.35">
      <c r="A145" s="43" t="s">
        <v>269</v>
      </c>
      <c r="B145" s="1" t="s">
        <v>487</v>
      </c>
      <c r="C145" t="s">
        <v>487</v>
      </c>
      <c r="D145" s="1"/>
      <c r="E145" s="1"/>
      <c r="F145" s="1"/>
      <c r="G145" s="1"/>
      <c r="I145" t="s">
        <v>329</v>
      </c>
      <c r="K145" s="1">
        <v>80</v>
      </c>
      <c r="L145">
        <f t="shared" si="4"/>
        <v>10</v>
      </c>
      <c r="M145">
        <f t="shared" si="5"/>
        <v>0.5</v>
      </c>
    </row>
    <row r="146" spans="1:13" x14ac:dyDescent="0.35">
      <c r="A146" s="43" t="s">
        <v>269</v>
      </c>
      <c r="B146" s="1" t="s">
        <v>487</v>
      </c>
      <c r="C146" t="s">
        <v>487</v>
      </c>
      <c r="D146" s="1"/>
      <c r="E146" s="1"/>
      <c r="F146" s="1"/>
      <c r="G146" s="1"/>
      <c r="I146" s="53" t="s">
        <v>481</v>
      </c>
      <c r="K146" s="54">
        <v>40</v>
      </c>
      <c r="L146">
        <f t="shared" si="4"/>
        <v>5</v>
      </c>
      <c r="M146">
        <f t="shared" si="5"/>
        <v>0.25</v>
      </c>
    </row>
    <row r="147" spans="1:13" x14ac:dyDescent="0.35">
      <c r="A147" s="43" t="s">
        <v>269</v>
      </c>
      <c r="B147" s="1" t="s">
        <v>487</v>
      </c>
      <c r="C147" t="s">
        <v>487</v>
      </c>
      <c r="D147" s="1"/>
      <c r="E147" s="1"/>
      <c r="F147" s="1"/>
      <c r="G147" s="1"/>
      <c r="H147" s="1"/>
      <c r="I147" s="53" t="s">
        <v>482</v>
      </c>
      <c r="K147" s="53"/>
      <c r="L147">
        <f t="shared" si="4"/>
        <v>0</v>
      </c>
      <c r="M147">
        <f t="shared" si="5"/>
        <v>0</v>
      </c>
    </row>
    <row r="148" spans="1:13" x14ac:dyDescent="0.35">
      <c r="A148" s="43" t="s">
        <v>269</v>
      </c>
      <c r="B148" s="1" t="s">
        <v>487</v>
      </c>
      <c r="C148" t="s">
        <v>487</v>
      </c>
      <c r="D148" s="1"/>
      <c r="E148" s="1"/>
      <c r="F148" s="1"/>
      <c r="G148" s="1"/>
      <c r="H148" s="1"/>
      <c r="I148" s="53" t="s">
        <v>483</v>
      </c>
      <c r="K148" s="53"/>
      <c r="L148">
        <f t="shared" si="4"/>
        <v>0</v>
      </c>
      <c r="M148">
        <f t="shared" si="5"/>
        <v>0</v>
      </c>
    </row>
    <row r="149" spans="1:13" x14ac:dyDescent="0.35">
      <c r="A149" s="43" t="s">
        <v>269</v>
      </c>
      <c r="B149" s="1" t="s">
        <v>488</v>
      </c>
      <c r="C149" t="s">
        <v>488</v>
      </c>
      <c r="D149" s="1"/>
      <c r="E149" s="1"/>
      <c r="F149" s="1"/>
      <c r="G149" s="1"/>
      <c r="I149" s="53" t="s">
        <v>484</v>
      </c>
      <c r="K149" s="53"/>
      <c r="L149">
        <f t="shared" si="4"/>
        <v>0</v>
      </c>
      <c r="M149">
        <f t="shared" si="5"/>
        <v>0</v>
      </c>
    </row>
    <row r="150" spans="1:13" x14ac:dyDescent="0.35">
      <c r="A150" s="43" t="s">
        <v>269</v>
      </c>
      <c r="B150" s="1" t="s">
        <v>488</v>
      </c>
      <c r="C150" t="s">
        <v>488</v>
      </c>
      <c r="D150" s="1"/>
      <c r="E150" s="1"/>
      <c r="F150" s="1"/>
      <c r="G150" s="1"/>
      <c r="I150" t="s">
        <v>485</v>
      </c>
      <c r="K150" s="1">
        <v>40</v>
      </c>
    </row>
    <row r="151" spans="1:13" x14ac:dyDescent="0.35">
      <c r="A151" s="43" t="s">
        <v>269</v>
      </c>
      <c r="B151" s="1" t="s">
        <v>488</v>
      </c>
      <c r="C151" t="s">
        <v>488</v>
      </c>
      <c r="D151" s="1"/>
      <c r="E151" s="1"/>
      <c r="F151" s="1"/>
      <c r="G151" s="1"/>
      <c r="H151" s="1"/>
      <c r="I151" t="s">
        <v>430</v>
      </c>
      <c r="K151" s="1">
        <v>40</v>
      </c>
      <c r="L151">
        <f t="shared" si="4"/>
        <v>5</v>
      </c>
      <c r="M151">
        <f t="shared" si="5"/>
        <v>0.25</v>
      </c>
    </row>
    <row r="152" spans="1:13" x14ac:dyDescent="0.35">
      <c r="A152" s="43" t="s">
        <v>269</v>
      </c>
      <c r="B152" s="1" t="s">
        <v>488</v>
      </c>
      <c r="C152" t="s">
        <v>488</v>
      </c>
      <c r="D152" s="1"/>
      <c r="E152" s="1"/>
      <c r="F152" s="1"/>
      <c r="G152" s="1"/>
      <c r="H152" s="1"/>
      <c r="I152" t="s">
        <v>428</v>
      </c>
      <c r="K152" s="1">
        <v>16</v>
      </c>
      <c r="L152">
        <f t="shared" si="4"/>
        <v>2</v>
      </c>
      <c r="M152">
        <f t="shared" si="5"/>
        <v>0.1</v>
      </c>
    </row>
    <row r="153" spans="1:13" x14ac:dyDescent="0.35">
      <c r="A153" s="43" t="s">
        <v>269</v>
      </c>
      <c r="B153" s="1" t="s">
        <v>488</v>
      </c>
      <c r="C153" t="s">
        <v>488</v>
      </c>
      <c r="I153" t="s">
        <v>427</v>
      </c>
      <c r="K153" s="1">
        <v>34</v>
      </c>
      <c r="L153">
        <f t="shared" si="4"/>
        <v>4.25</v>
      </c>
      <c r="M153">
        <f t="shared" si="5"/>
        <v>0.21249999999999999</v>
      </c>
    </row>
    <row r="157" spans="1:13" x14ac:dyDescent="0.35">
      <c r="A157" t="s">
        <v>136</v>
      </c>
    </row>
    <row r="158" spans="1:13" x14ac:dyDescent="0.35">
      <c r="A158" s="4" t="s">
        <v>108</v>
      </c>
    </row>
    <row r="159" spans="1:13" x14ac:dyDescent="0.35">
      <c r="A159" s="4" t="s">
        <v>109</v>
      </c>
    </row>
    <row r="160" spans="1:13" x14ac:dyDescent="0.35">
      <c r="A160" s="4" t="s">
        <v>122</v>
      </c>
    </row>
    <row r="161" spans="1:1" x14ac:dyDescent="0.35">
      <c r="A161" s="4" t="s">
        <v>127</v>
      </c>
    </row>
    <row r="162" spans="1:1" x14ac:dyDescent="0.35">
      <c r="A162" s="4" t="s">
        <v>128</v>
      </c>
    </row>
    <row r="163" spans="1:1" x14ac:dyDescent="0.35">
      <c r="A163" s="4" t="s">
        <v>133</v>
      </c>
    </row>
    <row r="164" spans="1:1" x14ac:dyDescent="0.35">
      <c r="A164" s="4" t="s">
        <v>134</v>
      </c>
    </row>
    <row r="165" spans="1:1" x14ac:dyDescent="0.35">
      <c r="A165" s="4" t="s">
        <v>135</v>
      </c>
    </row>
    <row r="166" spans="1:1" x14ac:dyDescent="0.35">
      <c r="A166" s="4" t="s">
        <v>155</v>
      </c>
    </row>
    <row r="167" spans="1:1" x14ac:dyDescent="0.35">
      <c r="A167" s="11" t="s">
        <v>158</v>
      </c>
    </row>
    <row r="168" spans="1:1" x14ac:dyDescent="0.35">
      <c r="A168" s="11" t="s">
        <v>156</v>
      </c>
    </row>
    <row r="169" spans="1:1" x14ac:dyDescent="0.35">
      <c r="A169" s="4" t="s">
        <v>211</v>
      </c>
    </row>
    <row r="170" spans="1:1" x14ac:dyDescent="0.35">
      <c r="A170" s="4" t="s">
        <v>157</v>
      </c>
    </row>
    <row r="171" spans="1:1" x14ac:dyDescent="0.35">
      <c r="A171" s="4" t="s">
        <v>324</v>
      </c>
    </row>
    <row r="172" spans="1:1" x14ac:dyDescent="0.35">
      <c r="A172" s="4" t="s">
        <v>331</v>
      </c>
    </row>
    <row r="173" spans="1:1" x14ac:dyDescent="0.35">
      <c r="A173" s="4" t="s">
        <v>332</v>
      </c>
    </row>
    <row r="174" spans="1:1" x14ac:dyDescent="0.35">
      <c r="A174" s="4" t="s">
        <v>337</v>
      </c>
    </row>
  </sheetData>
  <autoFilter ref="A1:O153" xr:uid="{4931786C-C10C-4D86-AE19-6C6339056B23}"/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FCB5-EBCD-4350-82BF-6CD8EFFE80FB}">
  <dimension ref="A1:T181"/>
  <sheetViews>
    <sheetView topLeftCell="F13" zoomScaleNormal="100" workbookViewId="0">
      <selection activeCell="E23" sqref="E23"/>
    </sheetView>
  </sheetViews>
  <sheetFormatPr baseColWidth="10" defaultColWidth="8.7265625" defaultRowHeight="14.5" x14ac:dyDescent="0.35"/>
  <cols>
    <col min="1" max="1" width="22" customWidth="1"/>
    <col min="2" max="2" width="31" customWidth="1"/>
    <col min="3" max="3" width="32.453125" customWidth="1"/>
    <col min="4" max="4" width="26" customWidth="1"/>
    <col min="5" max="5" width="31" customWidth="1"/>
    <col min="6" max="6" width="27.81640625" customWidth="1"/>
    <col min="7" max="8" width="18.26953125" customWidth="1"/>
    <col min="9" max="9" width="11.1796875" customWidth="1"/>
    <col min="10" max="10" width="27.453125" customWidth="1"/>
    <col min="11" max="11" width="19.81640625" customWidth="1"/>
    <col min="12" max="12" width="32.7265625" customWidth="1"/>
    <col min="13" max="13" width="38.1796875" bestFit="1" customWidth="1"/>
    <col min="14" max="14" width="17.54296875" bestFit="1" customWidth="1"/>
    <col min="15" max="19" width="17.54296875" customWidth="1"/>
    <col min="20" max="20" width="8.81640625" bestFit="1" customWidth="1"/>
  </cols>
  <sheetData>
    <row r="1" spans="1:9" x14ac:dyDescent="0.35">
      <c r="A1" s="47" t="s">
        <v>445</v>
      </c>
      <c r="B1" s="48" t="s">
        <v>446</v>
      </c>
    </row>
    <row r="5" spans="1:9" x14ac:dyDescent="0.35">
      <c r="A5" s="48" t="s">
        <v>31</v>
      </c>
      <c r="F5" s="68"/>
      <c r="G5" s="68"/>
    </row>
    <row r="6" spans="1:9" x14ac:dyDescent="0.35">
      <c r="A6" s="1" t="s">
        <v>369</v>
      </c>
      <c r="B6" s="1" t="s">
        <v>33</v>
      </c>
      <c r="C6" s="1" t="s">
        <v>32</v>
      </c>
      <c r="D6" s="1" t="s">
        <v>58</v>
      </c>
      <c r="E6" s="1" t="s">
        <v>495</v>
      </c>
      <c r="F6" s="1"/>
      <c r="G6" s="1"/>
      <c r="H6" s="1"/>
      <c r="I6" s="1"/>
    </row>
    <row r="7" spans="1:9" x14ac:dyDescent="0.35">
      <c r="B7">
        <v>3050</v>
      </c>
      <c r="C7">
        <v>1234567943</v>
      </c>
      <c r="D7" t="s">
        <v>34</v>
      </c>
    </row>
    <row r="8" spans="1:9" x14ac:dyDescent="0.35">
      <c r="B8">
        <v>3051</v>
      </c>
      <c r="C8">
        <v>6561231311</v>
      </c>
      <c r="D8" t="s">
        <v>39</v>
      </c>
    </row>
    <row r="9" spans="1:9" x14ac:dyDescent="0.35">
      <c r="B9">
        <v>3058</v>
      </c>
      <c r="C9">
        <v>9121313133</v>
      </c>
      <c r="D9" t="s">
        <v>40</v>
      </c>
    </row>
    <row r="11" spans="1:9" x14ac:dyDescent="0.35">
      <c r="A11" s="48" t="s">
        <v>493</v>
      </c>
    </row>
    <row r="12" spans="1:9" x14ac:dyDescent="0.35">
      <c r="A12" s="1" t="s">
        <v>369</v>
      </c>
      <c r="B12" s="1" t="s">
        <v>33</v>
      </c>
      <c r="C12" s="1" t="s">
        <v>494</v>
      </c>
    </row>
    <row r="20" spans="1:20" ht="15" thickBot="1" x14ac:dyDescent="0.4"/>
    <row r="21" spans="1:20" ht="15" thickBot="1" x14ac:dyDescent="0.4">
      <c r="A21" s="64" t="s">
        <v>458</v>
      </c>
      <c r="B21" s="1"/>
      <c r="C21" s="1"/>
      <c r="D21" s="1"/>
      <c r="E21" s="1"/>
      <c r="F21" s="1" t="s">
        <v>197</v>
      </c>
      <c r="G21" s="1"/>
      <c r="K21" s="1"/>
    </row>
    <row r="22" spans="1:20" x14ac:dyDescent="0.35">
      <c r="A22" s="1" t="s">
        <v>35</v>
      </c>
      <c r="B22" s="1" t="s">
        <v>207</v>
      </c>
      <c r="C22" s="1" t="s">
        <v>50</v>
      </c>
      <c r="D22" s="1" t="s">
        <v>213</v>
      </c>
      <c r="E22" s="1" t="s">
        <v>82</v>
      </c>
      <c r="F22" s="1" t="s">
        <v>190</v>
      </c>
      <c r="G22" s="1" t="s">
        <v>195</v>
      </c>
      <c r="H22" s="1" t="s">
        <v>193</v>
      </c>
      <c r="I22" s="1" t="s">
        <v>64</v>
      </c>
      <c r="J22" s="1" t="s">
        <v>241</v>
      </c>
      <c r="K22" s="1" t="s">
        <v>38</v>
      </c>
    </row>
    <row r="23" spans="1:20" x14ac:dyDescent="0.35">
      <c r="A23" s="3" t="s">
        <v>30</v>
      </c>
      <c r="B23" s="6" t="s">
        <v>49</v>
      </c>
      <c r="C23">
        <v>912315</v>
      </c>
      <c r="D23" s="10">
        <v>45801</v>
      </c>
      <c r="E23" t="s">
        <v>503</v>
      </c>
      <c r="F23" t="s">
        <v>191</v>
      </c>
      <c r="G23">
        <v>16</v>
      </c>
      <c r="H23" t="s">
        <v>194</v>
      </c>
      <c r="K23">
        <v>2</v>
      </c>
      <c r="M23" t="s">
        <v>41</v>
      </c>
    </row>
    <row r="24" spans="1:20" x14ac:dyDescent="0.35">
      <c r="A24" s="9" t="s">
        <v>147</v>
      </c>
      <c r="B24" s="4" t="s">
        <v>148</v>
      </c>
      <c r="C24">
        <v>81213123</v>
      </c>
      <c r="D24" s="10">
        <v>45801</v>
      </c>
      <c r="E24" t="s">
        <v>146</v>
      </c>
      <c r="F24" t="s">
        <v>192</v>
      </c>
      <c r="G24">
        <v>21</v>
      </c>
      <c r="H24" t="s">
        <v>196</v>
      </c>
      <c r="K24">
        <v>2</v>
      </c>
    </row>
    <row r="25" spans="1:20" x14ac:dyDescent="0.35">
      <c r="A25" s="3" t="s">
        <v>176</v>
      </c>
      <c r="B25" s="7" t="s">
        <v>177</v>
      </c>
      <c r="C25">
        <v>999999</v>
      </c>
      <c r="D25" s="10">
        <v>45801</v>
      </c>
      <c r="E25" t="s">
        <v>175</v>
      </c>
      <c r="F25" t="s">
        <v>192</v>
      </c>
      <c r="G25">
        <v>21</v>
      </c>
      <c r="H25" t="s">
        <v>196</v>
      </c>
      <c r="K25">
        <v>2</v>
      </c>
      <c r="L25" t="s">
        <v>174</v>
      </c>
    </row>
    <row r="26" spans="1:20" ht="15" thickBot="1" x14ac:dyDescent="0.4"/>
    <row r="27" spans="1:20" ht="15" thickBot="1" x14ac:dyDescent="0.4">
      <c r="A27" s="64" t="s">
        <v>81</v>
      </c>
      <c r="B27" s="1"/>
      <c r="T27">
        <v>0</v>
      </c>
    </row>
    <row r="28" spans="1:20" x14ac:dyDescent="0.35">
      <c r="A28">
        <v>0</v>
      </c>
      <c r="B28" t="s">
        <v>61</v>
      </c>
    </row>
    <row r="29" spans="1:20" x14ac:dyDescent="0.35">
      <c r="A29">
        <v>1</v>
      </c>
      <c r="B29" t="s">
        <v>62</v>
      </c>
    </row>
    <row r="30" spans="1:20" x14ac:dyDescent="0.35">
      <c r="A30">
        <v>2</v>
      </c>
      <c r="B30" t="s">
        <v>63</v>
      </c>
    </row>
    <row r="31" spans="1:20" x14ac:dyDescent="0.35">
      <c r="A31">
        <v>9</v>
      </c>
      <c r="B31" t="s">
        <v>64</v>
      </c>
    </row>
    <row r="32" spans="1:20" ht="15" thickBot="1" x14ac:dyDescent="0.4"/>
    <row r="33" spans="1:12" ht="15" thickBot="1" x14ac:dyDescent="0.4">
      <c r="A33" s="64" t="s">
        <v>375</v>
      </c>
      <c r="C33" s="1"/>
    </row>
    <row r="34" spans="1:12" x14ac:dyDescent="0.35">
      <c r="A34" s="1" t="s">
        <v>371</v>
      </c>
      <c r="B34" s="1" t="s">
        <v>76</v>
      </c>
      <c r="C34" s="1" t="s">
        <v>353</v>
      </c>
    </row>
    <row r="35" spans="1:12" x14ac:dyDescent="0.35">
      <c r="A35">
        <v>1</v>
      </c>
      <c r="B35" t="s">
        <v>75</v>
      </c>
      <c r="C35" t="s">
        <v>370</v>
      </c>
    </row>
    <row r="36" spans="1:12" x14ac:dyDescent="0.35">
      <c r="A36">
        <v>2</v>
      </c>
      <c r="B36" t="s">
        <v>73</v>
      </c>
      <c r="C36" t="s">
        <v>374</v>
      </c>
    </row>
    <row r="38" spans="1:12" ht="15" thickBot="1" x14ac:dyDescent="0.4"/>
    <row r="39" spans="1:12" ht="15" thickBot="1" x14ac:dyDescent="0.4">
      <c r="A39" s="64" t="s">
        <v>376</v>
      </c>
    </row>
    <row r="40" spans="1:12" ht="15" thickBot="1" x14ac:dyDescent="0.4">
      <c r="A40" s="1" t="s">
        <v>371</v>
      </c>
      <c r="B40" s="1" t="s">
        <v>369</v>
      </c>
      <c r="C40" s="1" t="s">
        <v>144</v>
      </c>
      <c r="D40" s="1" t="s">
        <v>33</v>
      </c>
    </row>
    <row r="41" spans="1:12" x14ac:dyDescent="0.35">
      <c r="A41" s="21">
        <v>1</v>
      </c>
      <c r="B41" s="15">
        <v>123456</v>
      </c>
      <c r="C41" s="15" t="s">
        <v>372</v>
      </c>
      <c r="D41" s="22">
        <v>310</v>
      </c>
      <c r="F41" t="s">
        <v>381</v>
      </c>
    </row>
    <row r="42" spans="1:12" x14ac:dyDescent="0.35">
      <c r="A42" s="16">
        <v>1</v>
      </c>
      <c r="B42">
        <v>654312</v>
      </c>
      <c r="C42" t="s">
        <v>373</v>
      </c>
      <c r="D42" s="24">
        <v>311</v>
      </c>
    </row>
    <row r="43" spans="1:12" ht="15" thickBot="1" x14ac:dyDescent="0.4">
      <c r="A43" s="19">
        <v>1</v>
      </c>
      <c r="B43" s="20">
        <v>753159</v>
      </c>
      <c r="C43" s="25" t="s">
        <v>379</v>
      </c>
      <c r="D43" s="23">
        <v>315</v>
      </c>
    </row>
    <row r="44" spans="1:12" x14ac:dyDescent="0.35">
      <c r="A44" s="21">
        <v>2</v>
      </c>
      <c r="B44" s="15">
        <v>951357</v>
      </c>
      <c r="C44" s="15" t="s">
        <v>214</v>
      </c>
      <c r="D44" s="22">
        <v>531</v>
      </c>
    </row>
    <row r="45" spans="1:12" ht="15" thickBot="1" x14ac:dyDescent="0.4">
      <c r="A45" s="19">
        <v>2</v>
      </c>
      <c r="B45" s="20">
        <v>682715</v>
      </c>
      <c r="C45" s="20" t="s">
        <v>380</v>
      </c>
      <c r="D45" s="23">
        <v>710</v>
      </c>
    </row>
    <row r="48" spans="1:12" x14ac:dyDescent="0.35">
      <c r="G48" s="1" t="s">
        <v>388</v>
      </c>
      <c r="J48" s="1" t="s">
        <v>391</v>
      </c>
      <c r="L48" s="1" t="s">
        <v>390</v>
      </c>
    </row>
    <row r="49" spans="1:13" x14ac:dyDescent="0.35">
      <c r="A49" s="47" t="s">
        <v>378</v>
      </c>
      <c r="G49" t="s">
        <v>382</v>
      </c>
      <c r="H49" t="s">
        <v>383</v>
      </c>
      <c r="J49" t="s">
        <v>382</v>
      </c>
      <c r="K49" t="s">
        <v>383</v>
      </c>
      <c r="L49" t="s">
        <v>382</v>
      </c>
      <c r="M49" t="s">
        <v>383</v>
      </c>
    </row>
    <row r="50" spans="1:13" x14ac:dyDescent="0.35">
      <c r="A50" s="27" t="s">
        <v>371</v>
      </c>
      <c r="B50" s="28" t="s">
        <v>369</v>
      </c>
      <c r="C50" s="29" t="s">
        <v>377</v>
      </c>
      <c r="D50" s="28"/>
      <c r="E50" s="1" t="s">
        <v>63</v>
      </c>
    </row>
    <row r="51" spans="1:13" ht="15.75" customHeight="1" x14ac:dyDescent="0.35">
      <c r="A51" s="30">
        <v>1</v>
      </c>
      <c r="B51">
        <v>0</v>
      </c>
      <c r="C51" s="17" t="s">
        <v>49</v>
      </c>
      <c r="E51" s="31">
        <v>1</v>
      </c>
      <c r="F51" s="36" t="s">
        <v>385</v>
      </c>
      <c r="G51" t="s">
        <v>384</v>
      </c>
      <c r="I51" s="36" t="s">
        <v>389</v>
      </c>
      <c r="J51" t="s">
        <v>384</v>
      </c>
      <c r="K51" s="36" t="s">
        <v>389</v>
      </c>
      <c r="L51" t="s">
        <v>384</v>
      </c>
    </row>
    <row r="52" spans="1:13" ht="15" thickBot="1" x14ac:dyDescent="0.4">
      <c r="A52" s="30">
        <v>1</v>
      </c>
      <c r="B52">
        <v>0</v>
      </c>
      <c r="C52" s="18" t="s">
        <v>148</v>
      </c>
      <c r="E52" s="31">
        <v>1</v>
      </c>
      <c r="F52" s="36" t="s">
        <v>389</v>
      </c>
      <c r="G52" t="s">
        <v>386</v>
      </c>
      <c r="I52" s="36" t="s">
        <v>385</v>
      </c>
      <c r="J52" t="s">
        <v>386</v>
      </c>
      <c r="K52" s="36" t="s">
        <v>385</v>
      </c>
      <c r="L52" t="s">
        <v>386</v>
      </c>
    </row>
    <row r="53" spans="1:13" x14ac:dyDescent="0.35">
      <c r="A53" s="30">
        <v>1</v>
      </c>
      <c r="B53">
        <v>654312</v>
      </c>
      <c r="C53" s="26" t="s">
        <v>177</v>
      </c>
      <c r="E53" s="31">
        <v>1</v>
      </c>
      <c r="G53" s="15">
        <v>123456</v>
      </c>
      <c r="H53" t="s">
        <v>387</v>
      </c>
      <c r="J53" s="15">
        <v>123456</v>
      </c>
      <c r="L53" s="15">
        <v>123456</v>
      </c>
    </row>
    <row r="54" spans="1:13" x14ac:dyDescent="0.35">
      <c r="A54" s="30">
        <v>1</v>
      </c>
      <c r="B54">
        <v>753159</v>
      </c>
      <c r="C54" s="26" t="s">
        <v>177</v>
      </c>
      <c r="E54" s="31">
        <v>1</v>
      </c>
      <c r="G54">
        <v>654312</v>
      </c>
      <c r="J54">
        <v>654312</v>
      </c>
      <c r="L54">
        <v>654312</v>
      </c>
    </row>
    <row r="55" spans="1:13" ht="15" thickBot="1" x14ac:dyDescent="0.4">
      <c r="A55" s="32">
        <v>2</v>
      </c>
      <c r="B55" s="33">
        <v>682715</v>
      </c>
      <c r="C55" s="34" t="s">
        <v>177</v>
      </c>
      <c r="D55" s="33"/>
      <c r="E55" s="35">
        <v>0</v>
      </c>
      <c r="G55" s="20">
        <v>753159</v>
      </c>
      <c r="H55" t="s">
        <v>387</v>
      </c>
      <c r="J55" s="20">
        <v>753159</v>
      </c>
      <c r="L55" s="20">
        <v>753159</v>
      </c>
    </row>
    <row r="58" spans="1:13" x14ac:dyDescent="0.35">
      <c r="A58" s="65" t="s">
        <v>241</v>
      </c>
    </row>
    <row r="59" spans="1:13" x14ac:dyDescent="0.35">
      <c r="A59">
        <v>1</v>
      </c>
      <c r="B59" t="s">
        <v>245</v>
      </c>
    </row>
    <row r="60" spans="1:13" x14ac:dyDescent="0.35">
      <c r="A60">
        <v>2</v>
      </c>
      <c r="B60" t="s">
        <v>245</v>
      </c>
    </row>
    <row r="61" spans="1:13" x14ac:dyDescent="0.35">
      <c r="A61">
        <v>3</v>
      </c>
      <c r="B61" t="s">
        <v>245</v>
      </c>
    </row>
    <row r="63" spans="1:13" x14ac:dyDescent="0.35">
      <c r="A63" s="65" t="s">
        <v>178</v>
      </c>
    </row>
    <row r="64" spans="1:13" x14ac:dyDescent="0.35">
      <c r="A64" t="s">
        <v>173</v>
      </c>
      <c r="B64" t="s">
        <v>334</v>
      </c>
    </row>
    <row r="65" spans="1:4" x14ac:dyDescent="0.35">
      <c r="A65" t="s">
        <v>184</v>
      </c>
      <c r="B65" t="s">
        <v>334</v>
      </c>
    </row>
    <row r="66" spans="1:4" x14ac:dyDescent="0.35">
      <c r="A66" t="s">
        <v>185</v>
      </c>
      <c r="B66" t="s">
        <v>336</v>
      </c>
    </row>
    <row r="67" spans="1:4" x14ac:dyDescent="0.35">
      <c r="A67" t="s">
        <v>149</v>
      </c>
      <c r="B67" t="s">
        <v>335</v>
      </c>
    </row>
    <row r="70" spans="1:4" x14ac:dyDescent="0.35">
      <c r="A70" s="65" t="s">
        <v>207</v>
      </c>
      <c r="B70" s="1" t="s">
        <v>181</v>
      </c>
    </row>
    <row r="71" spans="1:4" x14ac:dyDescent="0.35">
      <c r="A71" s="4" t="s">
        <v>148</v>
      </c>
      <c r="B71" t="s">
        <v>173</v>
      </c>
    </row>
    <row r="72" spans="1:4" x14ac:dyDescent="0.35">
      <c r="A72" s="4" t="s">
        <v>148</v>
      </c>
      <c r="B72" t="s">
        <v>184</v>
      </c>
    </row>
    <row r="73" spans="1:4" x14ac:dyDescent="0.35">
      <c r="A73" s="4" t="s">
        <v>148</v>
      </c>
      <c r="B73" t="s">
        <v>185</v>
      </c>
    </row>
    <row r="74" spans="1:4" x14ac:dyDescent="0.35">
      <c r="A74" s="6" t="s">
        <v>49</v>
      </c>
      <c r="B74" t="s">
        <v>149</v>
      </c>
    </row>
    <row r="75" spans="1:4" x14ac:dyDescent="0.35">
      <c r="A75" s="7" t="s">
        <v>177</v>
      </c>
      <c r="B75" t="s">
        <v>185</v>
      </c>
    </row>
    <row r="77" spans="1:4" x14ac:dyDescent="0.35">
      <c r="A77" s="65" t="s">
        <v>354</v>
      </c>
    </row>
    <row r="78" spans="1:4" x14ac:dyDescent="0.35">
      <c r="A78" s="1" t="s">
        <v>145</v>
      </c>
      <c r="B78" s="1" t="s">
        <v>355</v>
      </c>
      <c r="C78" s="1" t="s">
        <v>22</v>
      </c>
    </row>
    <row r="79" spans="1:4" x14ac:dyDescent="0.35">
      <c r="A79" t="s">
        <v>173</v>
      </c>
      <c r="B79" t="s">
        <v>182</v>
      </c>
      <c r="C79" t="s">
        <v>183</v>
      </c>
      <c r="D79" t="s">
        <v>174</v>
      </c>
    </row>
    <row r="80" spans="1:4" x14ac:dyDescent="0.35">
      <c r="A80" t="s">
        <v>173</v>
      </c>
      <c r="B80" t="s">
        <v>182</v>
      </c>
      <c r="C80" t="s">
        <v>183</v>
      </c>
      <c r="D80" t="s">
        <v>174</v>
      </c>
    </row>
    <row r="81" spans="1:4" x14ac:dyDescent="0.35">
      <c r="A81" t="s">
        <v>184</v>
      </c>
      <c r="B81" t="s">
        <v>182</v>
      </c>
      <c r="C81" t="s">
        <v>183</v>
      </c>
      <c r="D81" t="s">
        <v>174</v>
      </c>
    </row>
    <row r="82" spans="1:4" x14ac:dyDescent="0.35">
      <c r="A82" t="s">
        <v>184</v>
      </c>
      <c r="B82" t="s">
        <v>182</v>
      </c>
      <c r="C82" t="s">
        <v>183</v>
      </c>
      <c r="D82" t="s">
        <v>174</v>
      </c>
    </row>
    <row r="83" spans="1:4" x14ac:dyDescent="0.35">
      <c r="A83" t="s">
        <v>185</v>
      </c>
      <c r="B83" t="s">
        <v>182</v>
      </c>
      <c r="C83" t="s">
        <v>188</v>
      </c>
      <c r="D83" t="s">
        <v>174</v>
      </c>
    </row>
    <row r="84" spans="1:4" x14ac:dyDescent="0.35">
      <c r="A84" t="s">
        <v>185</v>
      </c>
      <c r="B84" t="s">
        <v>182</v>
      </c>
      <c r="C84" t="s">
        <v>187</v>
      </c>
    </row>
    <row r="85" spans="1:4" x14ac:dyDescent="0.35">
      <c r="A85" t="s">
        <v>185</v>
      </c>
      <c r="B85" t="s">
        <v>182</v>
      </c>
      <c r="C85" t="s">
        <v>189</v>
      </c>
    </row>
    <row r="87" spans="1:4" x14ac:dyDescent="0.35">
      <c r="A87" s="65" t="s">
        <v>442</v>
      </c>
    </row>
    <row r="88" spans="1:4" x14ac:dyDescent="0.35">
      <c r="A88" s="1" t="s">
        <v>145</v>
      </c>
      <c r="B88" s="1" t="s">
        <v>443</v>
      </c>
      <c r="C88" t="s">
        <v>63</v>
      </c>
    </row>
    <row r="89" spans="1:4" x14ac:dyDescent="0.35">
      <c r="A89" t="s">
        <v>185</v>
      </c>
      <c r="B89">
        <v>10100</v>
      </c>
      <c r="C89" t="b">
        <v>1</v>
      </c>
    </row>
    <row r="90" spans="1:4" x14ac:dyDescent="0.35">
      <c r="A90" t="s">
        <v>185</v>
      </c>
      <c r="B90">
        <v>10110</v>
      </c>
      <c r="C90" t="b">
        <v>0</v>
      </c>
    </row>
    <row r="91" spans="1:4" x14ac:dyDescent="0.35">
      <c r="A91" t="s">
        <v>185</v>
      </c>
      <c r="B91">
        <v>10200</v>
      </c>
      <c r="C91" t="b">
        <v>1</v>
      </c>
    </row>
    <row r="93" spans="1:4" x14ac:dyDescent="0.35">
      <c r="A93" s="1"/>
    </row>
    <row r="94" spans="1:4" x14ac:dyDescent="0.35">
      <c r="A94" s="65" t="s">
        <v>444</v>
      </c>
    </row>
    <row r="95" spans="1:4" ht="14.25" customHeight="1" x14ac:dyDescent="0.35">
      <c r="A95" s="66" t="s">
        <v>353</v>
      </c>
      <c r="B95" s="1" t="s">
        <v>443</v>
      </c>
      <c r="C95" s="1" t="s">
        <v>19</v>
      </c>
      <c r="D95" s="1" t="s">
        <v>63</v>
      </c>
    </row>
    <row r="96" spans="1:4" x14ac:dyDescent="0.35">
      <c r="A96" s="67"/>
      <c r="B96">
        <v>10100</v>
      </c>
      <c r="C96" t="s">
        <v>90</v>
      </c>
    </row>
    <row r="97" spans="1:6" x14ac:dyDescent="0.35">
      <c r="A97" s="67"/>
      <c r="B97">
        <v>10110</v>
      </c>
      <c r="C97" t="s">
        <v>91</v>
      </c>
    </row>
    <row r="98" spans="1:6" x14ac:dyDescent="0.35">
      <c r="A98" s="67"/>
      <c r="B98">
        <v>10200</v>
      </c>
      <c r="C98" t="s">
        <v>88</v>
      </c>
    </row>
    <row r="99" spans="1:6" x14ac:dyDescent="0.35">
      <c r="A99" s="67"/>
      <c r="B99">
        <v>10300</v>
      </c>
      <c r="C99" t="s">
        <v>89</v>
      </c>
    </row>
    <row r="100" spans="1:6" x14ac:dyDescent="0.35">
      <c r="A100" s="67"/>
      <c r="B100">
        <v>10400</v>
      </c>
      <c r="C100" t="s">
        <v>96</v>
      </c>
    </row>
    <row r="101" spans="1:6" x14ac:dyDescent="0.35">
      <c r="A101" s="67"/>
      <c r="B101">
        <v>10410</v>
      </c>
      <c r="C101" t="s">
        <v>97</v>
      </c>
    </row>
    <row r="102" spans="1:6" x14ac:dyDescent="0.35">
      <c r="A102" s="67"/>
      <c r="B102">
        <v>10500</v>
      </c>
      <c r="C102" t="s">
        <v>141</v>
      </c>
    </row>
    <row r="104" spans="1:6" x14ac:dyDescent="0.35">
      <c r="A104" s="47"/>
      <c r="B104" s="47"/>
      <c r="C104" s="47"/>
      <c r="D104" s="47"/>
    </row>
    <row r="105" spans="1:6" x14ac:dyDescent="0.35">
      <c r="A105" s="65" t="s">
        <v>212</v>
      </c>
      <c r="B105" s="47"/>
      <c r="C105" s="47"/>
      <c r="D105" s="47"/>
    </row>
    <row r="106" spans="1:6" x14ac:dyDescent="0.35">
      <c r="A106" s="1" t="s">
        <v>76</v>
      </c>
      <c r="B106" t="s">
        <v>353</v>
      </c>
      <c r="C106" s="28" t="s">
        <v>369</v>
      </c>
      <c r="D106" s="66" t="s">
        <v>32</v>
      </c>
      <c r="E106" s="1" t="s">
        <v>207</v>
      </c>
      <c r="F106" s="1" t="s">
        <v>63</v>
      </c>
    </row>
    <row r="107" spans="1:6" x14ac:dyDescent="0.35">
      <c r="A107" t="s">
        <v>73</v>
      </c>
      <c r="B107">
        <v>2</v>
      </c>
      <c r="C107">
        <v>3050</v>
      </c>
      <c r="D107" s="67">
        <v>1234567943</v>
      </c>
      <c r="E107" s="4" t="s">
        <v>49</v>
      </c>
    </row>
    <row r="108" spans="1:6" x14ac:dyDescent="0.35">
      <c r="A108" t="s">
        <v>74</v>
      </c>
      <c r="B108">
        <v>7</v>
      </c>
      <c r="C108">
        <v>3051</v>
      </c>
      <c r="D108" s="67">
        <v>6561231311</v>
      </c>
      <c r="E108" s="4" t="s">
        <v>49</v>
      </c>
    </row>
    <row r="109" spans="1:6" x14ac:dyDescent="0.35">
      <c r="A109" t="s">
        <v>75</v>
      </c>
      <c r="B109">
        <v>1</v>
      </c>
      <c r="C109">
        <v>3051</v>
      </c>
      <c r="D109" s="67">
        <v>6561231311</v>
      </c>
      <c r="E109" s="4" t="s">
        <v>49</v>
      </c>
    </row>
    <row r="110" spans="1:6" x14ac:dyDescent="0.35">
      <c r="A110" t="s">
        <v>77</v>
      </c>
      <c r="B110">
        <v>9</v>
      </c>
      <c r="C110">
        <v>3055</v>
      </c>
      <c r="D110" s="67">
        <v>6121321302</v>
      </c>
      <c r="E110" s="4" t="s">
        <v>49</v>
      </c>
    </row>
    <row r="112" spans="1:6" x14ac:dyDescent="0.35">
      <c r="A112" s="65" t="s">
        <v>393</v>
      </c>
      <c r="B112" s="47"/>
      <c r="C112" s="47"/>
      <c r="D112" s="47"/>
      <c r="E112" s="47"/>
    </row>
    <row r="113" spans="1:9" x14ac:dyDescent="0.35">
      <c r="A113" s="1" t="s">
        <v>76</v>
      </c>
      <c r="B113" t="s">
        <v>353</v>
      </c>
      <c r="C113" s="28" t="s">
        <v>369</v>
      </c>
      <c r="D113" s="1" t="s">
        <v>392</v>
      </c>
      <c r="E113" s="66" t="s">
        <v>32</v>
      </c>
      <c r="F113" s="1" t="s">
        <v>207</v>
      </c>
    </row>
    <row r="114" spans="1:9" x14ac:dyDescent="0.35">
      <c r="A114" t="s">
        <v>73</v>
      </c>
      <c r="B114">
        <v>2</v>
      </c>
      <c r="C114">
        <v>3050</v>
      </c>
      <c r="D114">
        <v>2</v>
      </c>
      <c r="E114" s="67">
        <v>1234567943</v>
      </c>
      <c r="F114" s="4" t="s">
        <v>49</v>
      </c>
    </row>
    <row r="115" spans="1:9" x14ac:dyDescent="0.35">
      <c r="A115" t="s">
        <v>74</v>
      </c>
      <c r="B115">
        <v>7</v>
      </c>
      <c r="C115">
        <v>3051</v>
      </c>
      <c r="D115">
        <v>15</v>
      </c>
      <c r="E115" s="67">
        <v>6561231311</v>
      </c>
      <c r="F115" s="4" t="s">
        <v>49</v>
      </c>
    </row>
    <row r="119" spans="1:9" x14ac:dyDescent="0.35">
      <c r="A119" s="65" t="s">
        <v>186</v>
      </c>
    </row>
    <row r="120" spans="1:9" x14ac:dyDescent="0.35">
      <c r="A120" s="1" t="s">
        <v>76</v>
      </c>
      <c r="B120" s="28" t="s">
        <v>369</v>
      </c>
      <c r="C120" s="1" t="s">
        <v>19</v>
      </c>
    </row>
    <row r="121" spans="1:9" x14ac:dyDescent="0.35">
      <c r="A121" t="s">
        <v>73</v>
      </c>
      <c r="B121">
        <v>3050</v>
      </c>
      <c r="C121" t="s">
        <v>27</v>
      </c>
    </row>
    <row r="122" spans="1:9" x14ac:dyDescent="0.35">
      <c r="A122" t="s">
        <v>73</v>
      </c>
      <c r="B122">
        <v>3050</v>
      </c>
      <c r="C122" t="s">
        <v>21</v>
      </c>
    </row>
    <row r="123" spans="1:9" x14ac:dyDescent="0.35">
      <c r="A123" t="s">
        <v>73</v>
      </c>
      <c r="B123">
        <v>3050</v>
      </c>
      <c r="C123" t="s">
        <v>123</v>
      </c>
    </row>
    <row r="124" spans="1:9" x14ac:dyDescent="0.35">
      <c r="A124" t="s">
        <v>75</v>
      </c>
      <c r="B124">
        <v>3051</v>
      </c>
      <c r="C124" t="s">
        <v>27</v>
      </c>
    </row>
    <row r="126" spans="1:9" x14ac:dyDescent="0.35">
      <c r="A126" s="65" t="s">
        <v>315</v>
      </c>
    </row>
    <row r="127" spans="1:9" x14ac:dyDescent="0.35">
      <c r="A127" s="1" t="s">
        <v>76</v>
      </c>
      <c r="B127" s="28" t="s">
        <v>369</v>
      </c>
      <c r="C127" s="1" t="s">
        <v>301</v>
      </c>
      <c r="D127" s="1" t="s">
        <v>302</v>
      </c>
      <c r="F127" s="1"/>
      <c r="G127" s="1"/>
      <c r="H127" s="1"/>
      <c r="I127" s="1"/>
    </row>
    <row r="128" spans="1:9" x14ac:dyDescent="0.35">
      <c r="A128" s="5" t="s">
        <v>73</v>
      </c>
      <c r="B128">
        <v>3050</v>
      </c>
      <c r="C128" s="1" t="s">
        <v>63</v>
      </c>
      <c r="D128" s="1" t="b">
        <v>1</v>
      </c>
      <c r="F128" s="1"/>
      <c r="G128" s="1"/>
      <c r="H128" s="1"/>
      <c r="I128" s="1"/>
    </row>
    <row r="129" spans="1:20" x14ac:dyDescent="0.35">
      <c r="A129" s="5" t="s">
        <v>73</v>
      </c>
      <c r="B129">
        <v>3050</v>
      </c>
      <c r="C129" t="s">
        <v>64</v>
      </c>
      <c r="D129" t="b">
        <v>1</v>
      </c>
    </row>
    <row r="130" spans="1:20" x14ac:dyDescent="0.35">
      <c r="A130" s="5" t="s">
        <v>73</v>
      </c>
      <c r="B130">
        <v>3050</v>
      </c>
      <c r="C130" t="s">
        <v>240</v>
      </c>
      <c r="D130" t="s">
        <v>245</v>
      </c>
    </row>
    <row r="131" spans="1:20" x14ac:dyDescent="0.35">
      <c r="A131" s="5" t="s">
        <v>73</v>
      </c>
      <c r="B131">
        <v>3050</v>
      </c>
      <c r="C131" t="s">
        <v>242</v>
      </c>
      <c r="D131" t="b">
        <v>1</v>
      </c>
    </row>
    <row r="132" spans="1:20" x14ac:dyDescent="0.35">
      <c r="A132" s="5" t="s">
        <v>73</v>
      </c>
      <c r="B132">
        <v>3050</v>
      </c>
      <c r="C132" t="s">
        <v>243</v>
      </c>
      <c r="D132" t="s">
        <v>245</v>
      </c>
    </row>
    <row r="133" spans="1:20" x14ac:dyDescent="0.35">
      <c r="A133" s="5" t="s">
        <v>73</v>
      </c>
      <c r="B133">
        <v>3050</v>
      </c>
      <c r="C133" t="s">
        <v>244</v>
      </c>
      <c r="D133" t="b">
        <v>1</v>
      </c>
    </row>
    <row r="134" spans="1:20" x14ac:dyDescent="0.35">
      <c r="A134" s="5" t="s">
        <v>73</v>
      </c>
      <c r="B134">
        <v>3050</v>
      </c>
      <c r="C134" t="s">
        <v>267</v>
      </c>
      <c r="D134" t="s">
        <v>245</v>
      </c>
    </row>
    <row r="135" spans="1:20" x14ac:dyDescent="0.35">
      <c r="A135" s="5" t="s">
        <v>73</v>
      </c>
      <c r="B135">
        <v>3050</v>
      </c>
      <c r="C135" t="s">
        <v>124</v>
      </c>
      <c r="D135" t="s">
        <v>126</v>
      </c>
    </row>
    <row r="136" spans="1:20" x14ac:dyDescent="0.35">
      <c r="A136" s="4" t="s">
        <v>73</v>
      </c>
      <c r="B136">
        <v>3050</v>
      </c>
      <c r="C136" s="1" t="s">
        <v>63</v>
      </c>
      <c r="D136" s="1" t="b">
        <v>1</v>
      </c>
    </row>
    <row r="137" spans="1:20" x14ac:dyDescent="0.35">
      <c r="A137" s="4" t="s">
        <v>73</v>
      </c>
      <c r="B137">
        <v>3050</v>
      </c>
      <c r="C137" t="s">
        <v>125</v>
      </c>
      <c r="D137" t="s">
        <v>316</v>
      </c>
    </row>
    <row r="138" spans="1:20" x14ac:dyDescent="0.35">
      <c r="A138" s="4" t="s">
        <v>74</v>
      </c>
      <c r="B138">
        <v>3059</v>
      </c>
      <c r="C138" t="s">
        <v>64</v>
      </c>
      <c r="D138" t="b">
        <v>1</v>
      </c>
    </row>
    <row r="139" spans="1:20" x14ac:dyDescent="0.35">
      <c r="A139" s="4" t="s">
        <v>74</v>
      </c>
      <c r="B139">
        <v>3059</v>
      </c>
      <c r="C139" t="s">
        <v>240</v>
      </c>
      <c r="D139" t="s">
        <v>245</v>
      </c>
    </row>
    <row r="140" spans="1:20" x14ac:dyDescent="0.35">
      <c r="A140" s="4" t="s">
        <v>74</v>
      </c>
      <c r="B140">
        <v>3059</v>
      </c>
      <c r="C140" t="s">
        <v>242</v>
      </c>
      <c r="D140" t="b">
        <v>1</v>
      </c>
    </row>
    <row r="141" spans="1:20" x14ac:dyDescent="0.35">
      <c r="A141" s="4" t="s">
        <v>74</v>
      </c>
      <c r="B141">
        <v>3059</v>
      </c>
      <c r="C141" t="s">
        <v>243</v>
      </c>
      <c r="D141" t="s">
        <v>245</v>
      </c>
    </row>
    <row r="142" spans="1:20" x14ac:dyDescent="0.35">
      <c r="A142" s="4" t="s">
        <v>74</v>
      </c>
      <c r="B142">
        <v>3059</v>
      </c>
      <c r="C142" t="s">
        <v>244</v>
      </c>
      <c r="D142" t="b">
        <v>1</v>
      </c>
      <c r="T142">
        <v>1</v>
      </c>
    </row>
    <row r="143" spans="1:20" x14ac:dyDescent="0.35">
      <c r="A143" s="4" t="s">
        <v>74</v>
      </c>
      <c r="B143">
        <v>3059</v>
      </c>
      <c r="C143" t="s">
        <v>267</v>
      </c>
      <c r="D143" t="s">
        <v>245</v>
      </c>
    </row>
    <row r="144" spans="1:20" x14ac:dyDescent="0.35">
      <c r="A144" s="4" t="s">
        <v>74</v>
      </c>
      <c r="B144">
        <v>3059</v>
      </c>
      <c r="C144" t="s">
        <v>124</v>
      </c>
      <c r="D144" t="s">
        <v>126</v>
      </c>
    </row>
    <row r="145" spans="1:7" x14ac:dyDescent="0.35">
      <c r="A145" s="4" t="s">
        <v>74</v>
      </c>
      <c r="B145">
        <v>3059</v>
      </c>
      <c r="C145" t="s">
        <v>125</v>
      </c>
      <c r="D145" t="s">
        <v>316</v>
      </c>
    </row>
    <row r="149" spans="1:7" x14ac:dyDescent="0.35">
      <c r="A149" s="65" t="s">
        <v>300</v>
      </c>
    </row>
    <row r="150" spans="1:7" x14ac:dyDescent="0.35">
      <c r="A150" s="1" t="s">
        <v>9</v>
      </c>
      <c r="B150" s="1" t="s">
        <v>301</v>
      </c>
      <c r="C150" s="1" t="s">
        <v>302</v>
      </c>
    </row>
    <row r="151" spans="1:7" x14ac:dyDescent="0.35">
      <c r="A151" t="s">
        <v>266</v>
      </c>
      <c r="B151" t="s">
        <v>64</v>
      </c>
      <c r="C151" t="b">
        <v>1</v>
      </c>
    </row>
    <row r="152" spans="1:7" x14ac:dyDescent="0.35">
      <c r="A152" t="s">
        <v>266</v>
      </c>
      <c r="B152" t="s">
        <v>240</v>
      </c>
      <c r="C152" t="s">
        <v>245</v>
      </c>
    </row>
    <row r="153" spans="1:7" x14ac:dyDescent="0.35">
      <c r="A153" t="s">
        <v>266</v>
      </c>
      <c r="B153" t="s">
        <v>242</v>
      </c>
      <c r="C153" t="b">
        <v>1</v>
      </c>
    </row>
    <row r="154" spans="1:7" x14ac:dyDescent="0.35">
      <c r="A154" t="s">
        <v>266</v>
      </c>
      <c r="B154" t="s">
        <v>243</v>
      </c>
      <c r="C154" t="s">
        <v>245</v>
      </c>
    </row>
    <row r="155" spans="1:7" x14ac:dyDescent="0.35">
      <c r="A155" t="s">
        <v>266</v>
      </c>
      <c r="B155" t="s">
        <v>244</v>
      </c>
      <c r="C155" t="b">
        <v>1</v>
      </c>
    </row>
    <row r="156" spans="1:7" x14ac:dyDescent="0.35">
      <c r="A156" t="s">
        <v>266</v>
      </c>
      <c r="B156" t="s">
        <v>267</v>
      </c>
      <c r="C156" t="s">
        <v>245</v>
      </c>
    </row>
    <row r="157" spans="1:7" x14ac:dyDescent="0.35">
      <c r="A157" t="s">
        <v>1</v>
      </c>
      <c r="B157" t="s">
        <v>64</v>
      </c>
      <c r="C157" t="b">
        <v>1</v>
      </c>
    </row>
    <row r="158" spans="1:7" x14ac:dyDescent="0.35">
      <c r="A158" t="s">
        <v>1</v>
      </c>
      <c r="B158" t="s">
        <v>240</v>
      </c>
      <c r="C158" t="s">
        <v>245</v>
      </c>
      <c r="D158" s="1"/>
      <c r="E158" s="1"/>
      <c r="F158" s="1"/>
      <c r="G158" s="1"/>
    </row>
    <row r="159" spans="1:7" x14ac:dyDescent="0.35">
      <c r="A159" t="s">
        <v>1</v>
      </c>
      <c r="B159" t="s">
        <v>242</v>
      </c>
      <c r="C159" t="b">
        <v>1</v>
      </c>
    </row>
    <row r="160" spans="1:7" x14ac:dyDescent="0.35">
      <c r="A160" t="s">
        <v>1</v>
      </c>
      <c r="B160" t="s">
        <v>243</v>
      </c>
      <c r="C160" t="s">
        <v>245</v>
      </c>
    </row>
    <row r="161" spans="1:3" x14ac:dyDescent="0.35">
      <c r="A161" t="s">
        <v>1</v>
      </c>
      <c r="B161" t="s">
        <v>244</v>
      </c>
      <c r="C161" t="b">
        <v>1</v>
      </c>
    </row>
    <row r="162" spans="1:3" x14ac:dyDescent="0.35">
      <c r="A162" t="s">
        <v>1</v>
      </c>
      <c r="B162" t="s">
        <v>267</v>
      </c>
      <c r="C162" t="s">
        <v>245</v>
      </c>
    </row>
    <row r="163" spans="1:3" x14ac:dyDescent="0.35">
      <c r="A163" t="s">
        <v>1</v>
      </c>
      <c r="B163" s="1" t="s">
        <v>312</v>
      </c>
      <c r="C163" s="1" t="s">
        <v>314</v>
      </c>
    </row>
    <row r="164" spans="1:3" x14ac:dyDescent="0.35">
      <c r="A164" t="s">
        <v>1</v>
      </c>
      <c r="B164" s="1" t="s">
        <v>313</v>
      </c>
      <c r="C164" s="1" t="s">
        <v>314</v>
      </c>
    </row>
    <row r="170" spans="1:3" x14ac:dyDescent="0.35">
      <c r="A170" s="65" t="s">
        <v>80</v>
      </c>
    </row>
    <row r="171" spans="1:3" x14ac:dyDescent="0.35">
      <c r="A171">
        <v>1</v>
      </c>
      <c r="B171" t="s">
        <v>73</v>
      </c>
    </row>
    <row r="172" spans="1:3" x14ac:dyDescent="0.35">
      <c r="A172">
        <v>2</v>
      </c>
      <c r="B172" t="s">
        <v>74</v>
      </c>
    </row>
    <row r="173" spans="1:3" x14ac:dyDescent="0.35">
      <c r="A173">
        <v>3</v>
      </c>
      <c r="B173" t="s">
        <v>75</v>
      </c>
    </row>
    <row r="174" spans="1:3" x14ac:dyDescent="0.35">
      <c r="A174">
        <v>4</v>
      </c>
      <c r="B174" t="s">
        <v>77</v>
      </c>
    </row>
    <row r="177" spans="1:11" x14ac:dyDescent="0.35">
      <c r="A177" s="47" t="s">
        <v>205</v>
      </c>
    </row>
    <row r="178" spans="1:11" x14ac:dyDescent="0.35">
      <c r="A178" s="1" t="s">
        <v>207</v>
      </c>
      <c r="B178" s="1" t="s">
        <v>206</v>
      </c>
      <c r="C178" s="1" t="s">
        <v>198</v>
      </c>
      <c r="D178" s="1" t="s">
        <v>199</v>
      </c>
      <c r="E178" s="1" t="s">
        <v>200</v>
      </c>
      <c r="F178" s="1" t="s">
        <v>201</v>
      </c>
      <c r="G178" s="1" t="s">
        <v>202</v>
      </c>
      <c r="H178" s="1"/>
      <c r="I178" s="1"/>
      <c r="J178" s="1" t="s">
        <v>203</v>
      </c>
      <c r="K178" s="1" t="s">
        <v>204</v>
      </c>
    </row>
    <row r="179" spans="1:11" x14ac:dyDescent="0.35">
      <c r="A179" s="7" t="s">
        <v>177</v>
      </c>
      <c r="B179">
        <v>10100</v>
      </c>
      <c r="K179">
        <v>200</v>
      </c>
    </row>
    <row r="180" spans="1:11" x14ac:dyDescent="0.35">
      <c r="A180" s="7" t="s">
        <v>177</v>
      </c>
      <c r="B180">
        <v>10110</v>
      </c>
    </row>
    <row r="181" spans="1:11" x14ac:dyDescent="0.35">
      <c r="A181" s="7" t="s">
        <v>177</v>
      </c>
      <c r="B181">
        <v>10400</v>
      </c>
    </row>
  </sheetData>
  <mergeCells count="1">
    <mergeCell ref="F5:G5"/>
  </mergeCells>
  <phoneticPr fontId="2" type="noConversion"/>
  <hyperlinks>
    <hyperlink ref="A23" r:id="rId1" xr:uid="{CF3C41A1-BF72-47DE-830F-69D88E86CCD4}"/>
    <hyperlink ref="A24" r:id="rId2" xr:uid="{10DB12E7-BD6F-4618-B482-1805A6CF791F}"/>
    <hyperlink ref="A25" r:id="rId3" xr:uid="{A2EE393D-CD74-48D3-AF48-B8EEA2D630FD}"/>
  </hyperlink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D373-8685-425F-B877-F195D6D3F2C7}">
  <dimension ref="A1:J53"/>
  <sheetViews>
    <sheetView topLeftCell="A7" zoomScale="145" zoomScaleNormal="145" workbookViewId="0">
      <selection activeCell="B23" sqref="B23"/>
    </sheetView>
  </sheetViews>
  <sheetFormatPr baseColWidth="10" defaultColWidth="8.7265625" defaultRowHeight="14.5" x14ac:dyDescent="0.35"/>
  <cols>
    <col min="1" max="1" width="15.1796875" customWidth="1"/>
    <col min="2" max="2" width="14" customWidth="1"/>
    <col min="3" max="3" width="16.26953125" customWidth="1"/>
    <col min="4" max="4" width="22" customWidth="1"/>
    <col min="5" max="5" width="19.453125" customWidth="1"/>
    <col min="6" max="6" width="11.7265625" customWidth="1"/>
  </cols>
  <sheetData>
    <row r="1" spans="1:10" x14ac:dyDescent="0.35">
      <c r="B1" s="1" t="s">
        <v>60</v>
      </c>
    </row>
    <row r="2" spans="1:10" x14ac:dyDescent="0.35">
      <c r="A2">
        <v>1</v>
      </c>
      <c r="B2" t="s">
        <v>65</v>
      </c>
    </row>
    <row r="3" spans="1:10" x14ac:dyDescent="0.35">
      <c r="A3">
        <v>1</v>
      </c>
      <c r="B3" t="s">
        <v>66</v>
      </c>
    </row>
    <row r="4" spans="1:10" x14ac:dyDescent="0.35">
      <c r="A4">
        <v>1.1000000000000001</v>
      </c>
      <c r="B4" t="s">
        <v>68</v>
      </c>
    </row>
    <row r="5" spans="1:10" x14ac:dyDescent="0.35">
      <c r="A5">
        <v>2</v>
      </c>
      <c r="B5" t="s">
        <v>208</v>
      </c>
      <c r="H5" s="3" t="s">
        <v>30</v>
      </c>
      <c r="I5" t="s">
        <v>49</v>
      </c>
      <c r="J5">
        <v>912315</v>
      </c>
    </row>
    <row r="6" spans="1:10" x14ac:dyDescent="0.35">
      <c r="A6">
        <v>2.1</v>
      </c>
      <c r="B6" t="s">
        <v>209</v>
      </c>
      <c r="H6" s="3"/>
    </row>
    <row r="7" spans="1:10" x14ac:dyDescent="0.35">
      <c r="A7">
        <v>3</v>
      </c>
      <c r="B7" t="s">
        <v>59</v>
      </c>
    </row>
    <row r="9" spans="1:10" x14ac:dyDescent="0.35">
      <c r="B9" s="1" t="s">
        <v>67</v>
      </c>
    </row>
    <row r="10" spans="1:10" x14ac:dyDescent="0.35">
      <c r="A10">
        <v>1</v>
      </c>
      <c r="B10" t="s">
        <v>69</v>
      </c>
    </row>
    <row r="11" spans="1:10" x14ac:dyDescent="0.35">
      <c r="A11">
        <v>2</v>
      </c>
      <c r="B11" t="s">
        <v>70</v>
      </c>
    </row>
    <row r="12" spans="1:10" x14ac:dyDescent="0.35">
      <c r="A12">
        <v>3</v>
      </c>
      <c r="B12" t="s">
        <v>71</v>
      </c>
    </row>
    <row r="13" spans="1:10" x14ac:dyDescent="0.35">
      <c r="A13">
        <v>4</v>
      </c>
      <c r="B13" t="s">
        <v>72</v>
      </c>
    </row>
    <row r="14" spans="1:10" x14ac:dyDescent="0.35">
      <c r="A14">
        <v>5</v>
      </c>
      <c r="B14" t="s">
        <v>210</v>
      </c>
      <c r="H14" s="3" t="s">
        <v>30</v>
      </c>
      <c r="I14" t="s">
        <v>49</v>
      </c>
      <c r="J14">
        <v>912315</v>
      </c>
    </row>
    <row r="15" spans="1:10" x14ac:dyDescent="0.35">
      <c r="A15">
        <v>5.0999999999999996</v>
      </c>
      <c r="B15" t="s">
        <v>209</v>
      </c>
      <c r="H15" s="3"/>
    </row>
    <row r="16" spans="1:10" x14ac:dyDescent="0.35">
      <c r="A16">
        <v>6</v>
      </c>
      <c r="B16" t="s">
        <v>59</v>
      </c>
    </row>
    <row r="18" spans="1:2" x14ac:dyDescent="0.35">
      <c r="B18" s="1" t="s">
        <v>36</v>
      </c>
    </row>
    <row r="19" spans="1:2" x14ac:dyDescent="0.35">
      <c r="A19">
        <v>0</v>
      </c>
      <c r="B19" t="s">
        <v>51</v>
      </c>
    </row>
    <row r="20" spans="1:2" x14ac:dyDescent="0.35">
      <c r="A20">
        <v>1</v>
      </c>
      <c r="B20" t="s">
        <v>42</v>
      </c>
    </row>
    <row r="21" spans="1:2" x14ac:dyDescent="0.35">
      <c r="A21">
        <v>1.1000000000000001</v>
      </c>
      <c r="B21" t="s">
        <v>37</v>
      </c>
    </row>
    <row r="22" spans="1:2" x14ac:dyDescent="0.35">
      <c r="A22">
        <v>2</v>
      </c>
      <c r="B22" t="s">
        <v>83</v>
      </c>
    </row>
    <row r="23" spans="1:2" x14ac:dyDescent="0.35">
      <c r="A23">
        <v>2.1</v>
      </c>
      <c r="B23" t="s">
        <v>500</v>
      </c>
    </row>
    <row r="25" spans="1:2" x14ac:dyDescent="0.35">
      <c r="B25" s="1" t="s">
        <v>43</v>
      </c>
    </row>
    <row r="26" spans="1:2" x14ac:dyDescent="0.35">
      <c r="A26">
        <v>0</v>
      </c>
      <c r="B26" t="s">
        <v>501</v>
      </c>
    </row>
    <row r="27" spans="1:2" x14ac:dyDescent="0.35">
      <c r="A27">
        <v>1</v>
      </c>
      <c r="B27" t="s">
        <v>84</v>
      </c>
    </row>
    <row r="28" spans="1:2" x14ac:dyDescent="0.35">
      <c r="A28">
        <v>1.1000000000000001</v>
      </c>
      <c r="B28" t="s">
        <v>502</v>
      </c>
    </row>
    <row r="29" spans="1:2" x14ac:dyDescent="0.35">
      <c r="A29">
        <v>2</v>
      </c>
      <c r="B29" t="s">
        <v>47</v>
      </c>
    </row>
    <row r="31" spans="1:2" x14ac:dyDescent="0.35">
      <c r="B31" s="1" t="s">
        <v>54</v>
      </c>
    </row>
    <row r="32" spans="1:2" x14ac:dyDescent="0.35">
      <c r="A32">
        <v>1</v>
      </c>
      <c r="B32" t="s">
        <v>55</v>
      </c>
    </row>
    <row r="33" spans="1:10" x14ac:dyDescent="0.35">
      <c r="A33">
        <v>2</v>
      </c>
      <c r="B33" t="s">
        <v>52</v>
      </c>
      <c r="H33" t="s">
        <v>78</v>
      </c>
      <c r="J33" t="s">
        <v>79</v>
      </c>
    </row>
    <row r="34" spans="1:10" x14ac:dyDescent="0.35">
      <c r="A34">
        <v>3</v>
      </c>
      <c r="B34" t="s">
        <v>48</v>
      </c>
    </row>
    <row r="35" spans="1:10" x14ac:dyDescent="0.35">
      <c r="A35">
        <v>4</v>
      </c>
      <c r="B35" t="s">
        <v>53</v>
      </c>
    </row>
    <row r="37" spans="1:10" x14ac:dyDescent="0.35">
      <c r="B37" s="1" t="s">
        <v>46</v>
      </c>
    </row>
    <row r="38" spans="1:10" x14ac:dyDescent="0.35">
      <c r="A38">
        <v>1</v>
      </c>
      <c r="B38" t="s">
        <v>44</v>
      </c>
      <c r="H38" t="s">
        <v>86</v>
      </c>
    </row>
    <row r="39" spans="1:10" x14ac:dyDescent="0.35">
      <c r="A39">
        <v>1.1000000000000001</v>
      </c>
      <c r="B39" t="s">
        <v>87</v>
      </c>
      <c r="H39" t="s">
        <v>87</v>
      </c>
    </row>
    <row r="40" spans="1:10" x14ac:dyDescent="0.35">
      <c r="A40">
        <f>A38+1</f>
        <v>2</v>
      </c>
      <c r="B40" t="s">
        <v>85</v>
      </c>
    </row>
    <row r="41" spans="1:10" x14ac:dyDescent="0.35">
      <c r="A41">
        <f>A40+1</f>
        <v>3</v>
      </c>
      <c r="B41" t="s">
        <v>45</v>
      </c>
      <c r="H41" t="s">
        <v>129</v>
      </c>
    </row>
    <row r="42" spans="1:10" x14ac:dyDescent="0.35">
      <c r="A42">
        <v>3.1</v>
      </c>
      <c r="B42" t="s">
        <v>272</v>
      </c>
    </row>
    <row r="43" spans="1:10" x14ac:dyDescent="0.35">
      <c r="A43">
        <f>A41+1</f>
        <v>4</v>
      </c>
      <c r="B43" t="s">
        <v>447</v>
      </c>
      <c r="E43" t="s">
        <v>303</v>
      </c>
    </row>
    <row r="44" spans="1:10" x14ac:dyDescent="0.35">
      <c r="A44">
        <v>4.0999999999999996</v>
      </c>
      <c r="B44" t="s">
        <v>448</v>
      </c>
    </row>
    <row r="45" spans="1:10" x14ac:dyDescent="0.35">
      <c r="A45">
        <v>4.2</v>
      </c>
      <c r="B45" t="s">
        <v>449</v>
      </c>
    </row>
    <row r="46" spans="1:10" x14ac:dyDescent="0.35">
      <c r="A46">
        <f>A43+1</f>
        <v>5</v>
      </c>
      <c r="B46" t="s">
        <v>450</v>
      </c>
    </row>
    <row r="47" spans="1:10" x14ac:dyDescent="0.35">
      <c r="A47">
        <v>5.0999999999999996</v>
      </c>
      <c r="B47" t="s">
        <v>451</v>
      </c>
    </row>
    <row r="48" spans="1:10" x14ac:dyDescent="0.35">
      <c r="A48">
        <v>5.2</v>
      </c>
      <c r="B48" t="s">
        <v>452</v>
      </c>
    </row>
    <row r="49" spans="1:8" x14ac:dyDescent="0.35">
      <c r="A49">
        <v>5.2</v>
      </c>
      <c r="B49" t="s">
        <v>453</v>
      </c>
    </row>
    <row r="50" spans="1:8" x14ac:dyDescent="0.35">
      <c r="A50">
        <f>A46+1</f>
        <v>6</v>
      </c>
      <c r="B50" t="s">
        <v>454</v>
      </c>
      <c r="H50" t="s">
        <v>132</v>
      </c>
    </row>
    <row r="51" spans="1:8" x14ac:dyDescent="0.35">
      <c r="H51" t="s">
        <v>131</v>
      </c>
    </row>
    <row r="52" spans="1:8" x14ac:dyDescent="0.35">
      <c r="B52" s="1" t="s">
        <v>56</v>
      </c>
      <c r="H52" t="s">
        <v>130</v>
      </c>
    </row>
    <row r="53" spans="1:8" x14ac:dyDescent="0.35">
      <c r="A53">
        <v>1</v>
      </c>
      <c r="B53" t="s">
        <v>57</v>
      </c>
    </row>
  </sheetData>
  <hyperlinks>
    <hyperlink ref="H5" r:id="rId1" xr:uid="{05FF36D9-8889-4395-B294-B97DC6C78461}"/>
    <hyperlink ref="H14" r:id="rId2" xr:uid="{503D929C-894F-42BF-9CA7-25A64A0A19E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FB2E-CE09-4106-8708-50BD19C9A06D}">
  <dimension ref="B1:F4"/>
  <sheetViews>
    <sheetView workbookViewId="0">
      <selection activeCell="C5" sqref="C5"/>
    </sheetView>
  </sheetViews>
  <sheetFormatPr baseColWidth="10" defaultColWidth="8.7265625" defaultRowHeight="14.5" x14ac:dyDescent="0.35"/>
  <cols>
    <col min="2" max="6" width="20.7265625" customWidth="1"/>
  </cols>
  <sheetData>
    <row r="1" spans="2:6" x14ac:dyDescent="0.35">
      <c r="B1" s="1" t="s">
        <v>33</v>
      </c>
      <c r="C1" s="1" t="s">
        <v>144</v>
      </c>
      <c r="D1" s="1" t="s">
        <v>9</v>
      </c>
      <c r="E1" s="1" t="s">
        <v>216</v>
      </c>
      <c r="F1" s="1" t="s">
        <v>217</v>
      </c>
    </row>
    <row r="2" spans="2:6" x14ac:dyDescent="0.35">
      <c r="B2">
        <v>351</v>
      </c>
      <c r="C2" t="s">
        <v>214</v>
      </c>
      <c r="D2" t="s">
        <v>215</v>
      </c>
      <c r="E2" s="10">
        <v>45772</v>
      </c>
      <c r="F2">
        <v>171365</v>
      </c>
    </row>
    <row r="3" spans="2:6" x14ac:dyDescent="0.35">
      <c r="B3">
        <v>213</v>
      </c>
      <c r="C3" t="s">
        <v>218</v>
      </c>
      <c r="D3" t="s">
        <v>219</v>
      </c>
      <c r="E3" s="10">
        <v>45772</v>
      </c>
      <c r="F3">
        <v>121312</v>
      </c>
    </row>
    <row r="4" spans="2:6" x14ac:dyDescent="0.35">
      <c r="B4">
        <v>513</v>
      </c>
      <c r="C4" t="s">
        <v>220</v>
      </c>
      <c r="D4" t="s">
        <v>220</v>
      </c>
      <c r="E4" s="10">
        <v>45772</v>
      </c>
      <c r="F4">
        <v>151613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D0B37-D486-49E4-A4E4-1A325779E312}">
  <dimension ref="A1:M4"/>
  <sheetViews>
    <sheetView zoomScale="85" zoomScaleNormal="85" workbookViewId="0">
      <selection activeCell="K20" sqref="K20"/>
    </sheetView>
  </sheetViews>
  <sheetFormatPr baseColWidth="10" defaultColWidth="8.7265625" defaultRowHeight="14.5" x14ac:dyDescent="0.35"/>
  <cols>
    <col min="1" max="1" width="10.453125" bestFit="1" customWidth="1"/>
    <col min="2" max="2" width="12.453125" customWidth="1"/>
    <col min="3" max="3" width="21" bestFit="1" customWidth="1"/>
    <col min="4" max="4" width="12.81640625" bestFit="1" customWidth="1"/>
    <col min="5" max="5" width="12.54296875" customWidth="1"/>
    <col min="6" max="6" width="20" customWidth="1"/>
    <col min="7" max="7" width="11.7265625" bestFit="1" customWidth="1"/>
    <col min="8" max="8" width="19.1796875" customWidth="1"/>
    <col min="9" max="9" width="13.81640625" customWidth="1"/>
    <col min="10" max="10" width="19.26953125" bestFit="1" customWidth="1"/>
    <col min="12" max="12" width="18.26953125" bestFit="1" customWidth="1"/>
    <col min="13" max="13" width="8.453125" bestFit="1" customWidth="1"/>
    <col min="14" max="14" width="18.26953125" bestFit="1" customWidth="1"/>
  </cols>
  <sheetData>
    <row r="1" spans="1:13" x14ac:dyDescent="0.35">
      <c r="A1" s="1" t="s">
        <v>198</v>
      </c>
      <c r="B1" s="1" t="s">
        <v>199</v>
      </c>
      <c r="C1" s="1" t="s">
        <v>361</v>
      </c>
      <c r="D1" t="s">
        <v>145</v>
      </c>
      <c r="E1" s="1" t="s">
        <v>206</v>
      </c>
      <c r="F1" s="1" t="s">
        <v>246</v>
      </c>
      <c r="G1" s="1" t="s">
        <v>200</v>
      </c>
      <c r="H1" s="1" t="s">
        <v>367</v>
      </c>
      <c r="I1" s="1" t="s">
        <v>368</v>
      </c>
      <c r="J1" s="1" t="s">
        <v>202</v>
      </c>
      <c r="K1" s="1" t="s">
        <v>203</v>
      </c>
      <c r="L1" s="1" t="s">
        <v>204</v>
      </c>
      <c r="M1" s="1"/>
    </row>
    <row r="2" spans="1:13" x14ac:dyDescent="0.35">
      <c r="A2" s="10">
        <v>45776</v>
      </c>
      <c r="B2" s="14">
        <v>0.66666666666666663</v>
      </c>
      <c r="C2" t="s">
        <v>30</v>
      </c>
      <c r="D2" t="s">
        <v>362</v>
      </c>
      <c r="E2">
        <v>10100</v>
      </c>
      <c r="F2" t="s">
        <v>363</v>
      </c>
      <c r="G2" t="s">
        <v>366</v>
      </c>
      <c r="H2">
        <v>12313213</v>
      </c>
      <c r="I2">
        <v>12313213</v>
      </c>
      <c r="J2">
        <v>3</v>
      </c>
      <c r="K2" t="s">
        <v>333</v>
      </c>
      <c r="L2">
        <v>200</v>
      </c>
    </row>
    <row r="3" spans="1:13" x14ac:dyDescent="0.35">
      <c r="A3" s="10">
        <v>45776</v>
      </c>
      <c r="B3" s="14">
        <v>0.66666666666666663</v>
      </c>
      <c r="C3" t="s">
        <v>30</v>
      </c>
      <c r="D3" t="s">
        <v>362</v>
      </c>
      <c r="E3">
        <v>10110</v>
      </c>
      <c r="F3" t="s">
        <v>364</v>
      </c>
      <c r="G3" t="s">
        <v>366</v>
      </c>
      <c r="H3">
        <v>12313213</v>
      </c>
      <c r="I3">
        <v>12313213</v>
      </c>
      <c r="J3">
        <v>1</v>
      </c>
      <c r="K3" t="s">
        <v>333</v>
      </c>
      <c r="L3">
        <v>200</v>
      </c>
    </row>
    <row r="4" spans="1:13" x14ac:dyDescent="0.35">
      <c r="A4" s="10">
        <v>45776</v>
      </c>
      <c r="B4" s="14">
        <v>0.66666666666666663</v>
      </c>
      <c r="C4" t="s">
        <v>30</v>
      </c>
      <c r="D4" t="s">
        <v>362</v>
      </c>
      <c r="E4">
        <v>10400</v>
      </c>
      <c r="F4" t="s">
        <v>365</v>
      </c>
      <c r="G4" t="s">
        <v>366</v>
      </c>
      <c r="H4">
        <v>12313213</v>
      </c>
      <c r="I4">
        <v>12313213</v>
      </c>
      <c r="J4">
        <v>4</v>
      </c>
      <c r="K4" t="s">
        <v>333</v>
      </c>
      <c r="L4">
        <v>200</v>
      </c>
    </row>
  </sheetData>
  <hyperlinks>
    <hyperlink ref="C3" r:id="rId1" xr:uid="{6E4634C2-419D-4BDE-85EB-37EC82F503B7}"/>
    <hyperlink ref="C4" r:id="rId2" xr:uid="{F7C9AC58-334B-42A3-B72A-B34D8CE33F74}"/>
    <hyperlink ref="C2" r:id="rId3" xr:uid="{8F7DFAD3-4FB9-4A05-BFA3-4DF32EFF3C6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8FCE-586D-4A99-8E31-228968B0B683}">
  <dimension ref="A1:E4"/>
  <sheetViews>
    <sheetView zoomScale="115" zoomScaleNormal="115" workbookViewId="0">
      <selection activeCell="A2" sqref="A2"/>
    </sheetView>
  </sheetViews>
  <sheetFormatPr baseColWidth="10" defaultColWidth="8.7265625" defaultRowHeight="14.5" x14ac:dyDescent="0.35"/>
  <cols>
    <col min="1" max="1" width="11.7265625" bestFit="1" customWidth="1"/>
    <col min="2" max="2" width="19.81640625" bestFit="1" customWidth="1"/>
    <col min="3" max="3" width="5.26953125" bestFit="1" customWidth="1"/>
    <col min="4" max="4" width="43.26953125" bestFit="1" customWidth="1"/>
    <col min="5" max="5" width="21.54296875" bestFit="1" customWidth="1"/>
  </cols>
  <sheetData>
    <row r="1" spans="1:5" x14ac:dyDescent="0.35">
      <c r="A1" s="1" t="s">
        <v>8</v>
      </c>
      <c r="B1" s="1" t="s">
        <v>9</v>
      </c>
      <c r="C1" s="1" t="s">
        <v>12</v>
      </c>
      <c r="D1" s="1" t="s">
        <v>11</v>
      </c>
      <c r="E1" s="1" t="s">
        <v>13</v>
      </c>
    </row>
    <row r="2" spans="1:5" x14ac:dyDescent="0.35">
      <c r="A2" t="s">
        <v>2</v>
      </c>
      <c r="B2" t="s">
        <v>5</v>
      </c>
      <c r="C2" t="s">
        <v>10</v>
      </c>
      <c r="D2" t="s">
        <v>14</v>
      </c>
      <c r="E2" t="s">
        <v>16</v>
      </c>
    </row>
    <row r="3" spans="1:5" x14ac:dyDescent="0.35">
      <c r="A3" t="s">
        <v>3</v>
      </c>
      <c r="B3" t="s">
        <v>0</v>
      </c>
      <c r="C3" t="s">
        <v>10</v>
      </c>
      <c r="D3" t="s">
        <v>7</v>
      </c>
      <c r="E3" t="s">
        <v>10</v>
      </c>
    </row>
    <row r="4" spans="1:5" x14ac:dyDescent="0.35">
      <c r="A4" t="s">
        <v>4</v>
      </c>
      <c r="B4" t="s">
        <v>6</v>
      </c>
      <c r="C4" t="s">
        <v>10</v>
      </c>
      <c r="D4" t="s">
        <v>15</v>
      </c>
      <c r="E4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79CC2-8A5E-4AFD-81D1-56E45D869C81}">
  <dimension ref="A1:C156"/>
  <sheetViews>
    <sheetView topLeftCell="A136" workbookViewId="0">
      <selection activeCell="B151" sqref="B151"/>
    </sheetView>
  </sheetViews>
  <sheetFormatPr baseColWidth="10" defaultColWidth="8.7265625" defaultRowHeight="14.5" x14ac:dyDescent="0.35"/>
  <cols>
    <col min="1" max="1" width="12.7265625" customWidth="1"/>
    <col min="2" max="2" width="148.7265625" bestFit="1" customWidth="1"/>
  </cols>
  <sheetData>
    <row r="1" spans="1:3" x14ac:dyDescent="0.35">
      <c r="A1" s="1" t="s">
        <v>492</v>
      </c>
      <c r="B1" s="1" t="s">
        <v>489</v>
      </c>
      <c r="C1" s="1" t="s">
        <v>490</v>
      </c>
    </row>
    <row r="2" spans="1:3" x14ac:dyDescent="0.35">
      <c r="A2" t="s">
        <v>491</v>
      </c>
      <c r="B2" t="str">
        <f>_xlfn.CONCAT("[",ACTIVIDADES!A2,"] [",ACTIVIDADES!C2,"] ",ACTIVIDADES!I2," (",ACTIVIDADES!B2,")")</f>
        <v>[GENERAL] [BACK] Script para dar de alta SuperUsurio para Adminisitrar Adminsitradores (AWS)</v>
      </c>
      <c r="C2">
        <f>ACTIVIDADES!K2</f>
        <v>8</v>
      </c>
    </row>
    <row r="3" spans="1:3" x14ac:dyDescent="0.35">
      <c r="A3" t="s">
        <v>491</v>
      </c>
      <c r="B3" t="str">
        <f>_xlfn.CONCAT("[",ACTIVIDADES!A3,"] [",ACTIVIDADES!C3,"] ",ACTIVIDADES!I3," (",ACTIVIDADES!B3,")")</f>
        <v>[GENERAL] [BACK] Script para generar estructuras de tablas nuevas de base de datos y carga inicial de datos y catalogos (AWS)</v>
      </c>
      <c r="C3">
        <f>ACTIVIDADES!K3</f>
        <v>20</v>
      </c>
    </row>
    <row r="4" spans="1:3" x14ac:dyDescent="0.35">
      <c r="A4" t="s">
        <v>491</v>
      </c>
      <c r="B4" t="str">
        <f>_xlfn.CONCAT("[",ACTIVIDADES!A4,"] [",ACTIVIDADES!C4,"] ",ACTIVIDADES!I4," (",ACTIVIDADES!B4,")")</f>
        <v>[GENERAL] [BACK] Ruteo de peticiones REST a distintas base de datos dependiendo del Origen solicitado (.NET)</v>
      </c>
      <c r="C4">
        <f>ACTIVIDADES!K4</f>
        <v>16</v>
      </c>
    </row>
    <row r="5" spans="1:3" x14ac:dyDescent="0.35">
      <c r="A5" t="s">
        <v>491</v>
      </c>
      <c r="B5" t="str">
        <f>_xlfn.CONCAT("[",ACTIVIDADES!A5,"] [",ACTIVIDADES!C5,"] ",ACTIVIDADES!I5," (",ACTIVIDADES!B5,")")</f>
        <v>[GENERAL] [BACK] Preparar nuevo PROYECTO para este set de servicios (AWS)</v>
      </c>
      <c r="C5">
        <f>ACTIVIDADES!K5</f>
        <v>8</v>
      </c>
    </row>
    <row r="6" spans="1:3" x14ac:dyDescent="0.35">
      <c r="A6" t="s">
        <v>491</v>
      </c>
      <c r="B6" t="str">
        <f>_xlfn.CONCAT("[",ACTIVIDADES!A6,"] [",ACTIVIDADES!C6,"] ",ACTIVIDADES!I6," (",ACTIVIDADES!B6,")")</f>
        <v>[GENERAL] [BACK] Preparar ejemplo de servicio base GET/PUT/POST/DEL, con manejo de sesion JWT, validaciones y bitacora; para replicar en el universo de servicios (.NET)</v>
      </c>
      <c r="C6">
        <f>ACTIVIDADES!K6</f>
        <v>16</v>
      </c>
    </row>
    <row r="7" spans="1:3" x14ac:dyDescent="0.35">
      <c r="A7" t="s">
        <v>491</v>
      </c>
      <c r="B7" t="str">
        <f>_xlfn.CONCAT("[",ACTIVIDADES!A7,"] [",ACTIVIDADES!C7,"] ",ACTIVIDADES!I7," (",ACTIVIDADES!B7,")")</f>
        <v>[GENERAL] [ARQ] Preparar proceso asincrono para generar archivo JSON de empresa SOLO para la empresa con bandera ACTIVOAPP true (JAVA) (.NET)</v>
      </c>
      <c r="C7">
        <f>ACTIVIDADES!K7</f>
        <v>20</v>
      </c>
    </row>
    <row r="8" spans="1:3" x14ac:dyDescent="0.35">
      <c r="A8" t="s">
        <v>491</v>
      </c>
      <c r="B8" t="str">
        <f>_xlfn.CONCAT("[",ACTIVIDADES!A8,"] [",ACTIVIDADES!C8,"] ",ACTIVIDADES!I8," (",ACTIVIDADES!B8,")")</f>
        <v>[GENERAL] [BACK] Realizar envio de archivo JSON a bucket S3 AWS de empresas (.NET)</v>
      </c>
      <c r="C8">
        <f>ACTIVIDADES!K8</f>
        <v>20</v>
      </c>
    </row>
    <row r="9" spans="1:3" x14ac:dyDescent="0.35">
      <c r="A9" t="s">
        <v>491</v>
      </c>
      <c r="B9" t="str">
        <f>_xlfn.CONCAT("[",ACTIVIDADES!A9,"] [",ACTIVIDADES!C9,"] ",ACTIVIDADES!I9," (",ACTIVIDADES!B9,")")</f>
        <v>[GENERAL] [BACK] Prepara CDK cdk-apisvector-pai: apigateway, lambdas, sqs, s3 (AWS)</v>
      </c>
      <c r="C9">
        <f>ACTIVIDADES!K9</f>
        <v>8</v>
      </c>
    </row>
    <row r="10" spans="1:3" x14ac:dyDescent="0.35">
      <c r="A10" t="s">
        <v>491</v>
      </c>
      <c r="B10" t="str">
        <f>_xlfn.CONCAT("[",ACTIVIDADES!A10,"] [",ACTIVIDADES!C10,"] ",ACTIVIDADES!I10," (",ACTIVIDADES!B10,")")</f>
        <v>[GENERAL] [BACK] Prepara CDK cdk-apisvector-pai: estructuras de tablas dynamodb, json empresa; estatus proceso sqs, etc (AWS)</v>
      </c>
      <c r="C10">
        <f>ACTIVIDADES!K10</f>
        <v>8</v>
      </c>
    </row>
    <row r="11" spans="1:3" x14ac:dyDescent="0.35">
      <c r="A11" t="s">
        <v>491</v>
      </c>
      <c r="B11" t="str">
        <f>_xlfn.CONCAT("[",ACTIVIDADES!A11,"] [",ACTIVIDADES!C11,"] ",ACTIVIDADES!I11," (",ACTIVIDADES!B11,")")</f>
        <v>[GENERAL] [BACK] Prepara CDK cdk-apisvector-pai: apigateway's domain vectorpai.api.vectordev.com.mx (AWS)</v>
      </c>
      <c r="C11">
        <f>ACTIVIDADES!K11</f>
        <v>8</v>
      </c>
    </row>
    <row r="12" spans="1:3" x14ac:dyDescent="0.35">
      <c r="A12" t="s">
        <v>491</v>
      </c>
      <c r="B12" t="str">
        <f>_xlfn.CONCAT("[",ACTIVIDADES!A12,"] [",ACTIVIDADES!C12,"] ",ACTIVIDADES!I12," (",ACTIVIDADES!B12,")")</f>
        <v>[GENERAL] [BACK] Prepara CDK cdk-apisvector-pai: CID con workflow de git  (Continuous integration deployment) (AWS)</v>
      </c>
      <c r="C12">
        <f>ACTIVIDADES!K12</f>
        <v>16</v>
      </c>
    </row>
    <row r="13" spans="1:3" x14ac:dyDescent="0.35">
      <c r="A13" t="s">
        <v>491</v>
      </c>
      <c r="B13" t="str">
        <f>_xlfn.CONCAT("[",ACTIVIDADES!A13,"] [",ACTIVIDADES!C13,"] ",ACTIVIDADES!I13," (",ACTIVIDADES!B13,")")</f>
        <v>[GENERAL] [BACK] Configuracion de correos de codigo de activacion y codigo de confirmacion, templates (AWS)</v>
      </c>
      <c r="C13">
        <f>ACTIVIDADES!K13</f>
        <v>16</v>
      </c>
    </row>
    <row r="14" spans="1:3" x14ac:dyDescent="0.35">
      <c r="A14" t="s">
        <v>491</v>
      </c>
      <c r="B14" t="str">
        <f>_xlfn.CONCAT("[",ACTIVIDADES!A14,"] [",ACTIVIDADES!C14,"] ",ACTIVIDADES!I14," (",ACTIVIDADES!B14,")")</f>
        <v>[GENERAL] [BACK] Configuracion de Cognito, user pools (AWS)</v>
      </c>
      <c r="C14">
        <f>ACTIVIDADES!K14</f>
        <v>8</v>
      </c>
    </row>
    <row r="15" spans="1:3" x14ac:dyDescent="0.35">
      <c r="A15" t="s">
        <v>491</v>
      </c>
      <c r="B15" t="str">
        <f>_xlfn.CONCAT("[",ACTIVIDADES!A15,"] [",ACTIVIDADES!C15,"] ",ACTIVIDADES!I15," (",ACTIVIDADES!B15,")")</f>
        <v>[GENERAL] [BACK] Tarea para depurar estatus retiros, etc  (tareas asincronas con estatus o encolamiento de peticiones) (AWS)</v>
      </c>
      <c r="C15">
        <f>ACTIVIDADES!K15</f>
        <v>16</v>
      </c>
    </row>
    <row r="16" spans="1:3" x14ac:dyDescent="0.35">
      <c r="A16" t="s">
        <v>491</v>
      </c>
      <c r="B16" t="str">
        <f>_xlfn.CONCAT("[",ACTIVIDADES!A16,"] [",ACTIVIDADES!C16,"] ",ACTIVIDADES!I16," (",ACTIVIDADES!B16,")")</f>
        <v>[GENERAL] [ARQ] Analisis arquitectura actual por incremento de volumen transaccional (.NET)</v>
      </c>
      <c r="C16">
        <f>ACTIVIDADES!K16</f>
        <v>8</v>
      </c>
    </row>
    <row r="17" spans="1:3" x14ac:dyDescent="0.35">
      <c r="A17" t="s">
        <v>491</v>
      </c>
      <c r="B17" t="str">
        <f>_xlfn.CONCAT("[",ACTIVIDADES!A17,"] [",ACTIVIDADES!C17,"] ",ACTIVIDADES!I17," (",ACTIVIDADES!B17,")")</f>
        <v>[GENERAL] [ARQ] Analisis tema: de Manifiesto reactivo en .NET, revisar que el sistema no sea "bloqueante" (.NET)</v>
      </c>
      <c r="C17">
        <f>ACTIVIDADES!K17</f>
        <v>8</v>
      </c>
    </row>
    <row r="18" spans="1:3" x14ac:dyDescent="0.35">
      <c r="A18" t="s">
        <v>491</v>
      </c>
      <c r="B18" t="str">
        <f>_xlfn.CONCAT("[",ACTIVIDADES!A18,"] [",ACTIVIDADES!C18,"] ",ACTIVIDADES!I18," (",ACTIVIDADES!B18,")")</f>
        <v>[GENERAL] [ARQ] API MANAGER? Autenticacion AWS/..NET (JWT) (.NET)</v>
      </c>
      <c r="C18">
        <f>ACTIVIDADES!K18</f>
        <v>8</v>
      </c>
    </row>
    <row r="19" spans="1:3" x14ac:dyDescent="0.35">
      <c r="A19" t="s">
        <v>491</v>
      </c>
      <c r="B19" t="str">
        <f>_xlfn.CONCAT("[",ACTIVIDADES!A19,"] [",ACTIVIDADES!C19,"] ",ACTIVIDADES!I19," (",ACTIVIDADES!B19,")")</f>
        <v>[GENERAL] [BACK] S3 Lambda para procesar JSON de multiples empresas y almacenar en DYNAMO ORIGEN/CONTRATO/PARTCIPANTE (AWS)</v>
      </c>
      <c r="C19">
        <f>ACTIVIDADES!K19</f>
        <v>20</v>
      </c>
    </row>
    <row r="20" spans="1:3" x14ac:dyDescent="0.35">
      <c r="A20" t="s">
        <v>491</v>
      </c>
      <c r="B20" t="str">
        <f>_xlfn.CONCAT("[",ACTIVIDADES!A20,"] [",ACTIVIDADES!C20,"] ",ACTIVIDADES!I20," (",ACTIVIDADES!B20,")")</f>
        <v>[GENERAL] [BACK] Trigger para generar y enviar  actualizacion de saldo pend /estatus prestamo de participante una vez realizado retiro/PRESTAMO (.NET)</v>
      </c>
      <c r="C20">
        <f>ACTIVIDADES!K20</f>
        <v>16</v>
      </c>
    </row>
    <row r="21" spans="1:3" x14ac:dyDescent="0.35">
      <c r="A21" t="s">
        <v>491</v>
      </c>
      <c r="B21" t="str">
        <f>_xlfn.CONCAT("[",ACTIVIDADES!A21,"] [",ACTIVIDADES!C21,"] ",ACTIVIDADES!I21," (",ACTIVIDADES!B21,")")</f>
        <v>[GENERAL] [BACK] Servicio para actualizar JSON de participante una vez realizado retiro/PRESTAMO (AWS)</v>
      </c>
      <c r="C21">
        <f>ACTIVIDADES!K21</f>
        <v>8</v>
      </c>
    </row>
    <row r="22" spans="1:3" x14ac:dyDescent="0.35">
      <c r="A22" t="s">
        <v>491</v>
      </c>
      <c r="B22" t="str">
        <f>_xlfn.CONCAT("[",ACTIVIDADES!A22,"] [",ACTIVIDADES!C22,"] ",ACTIVIDADES!I22," (",ACTIVIDADES!B22,")")</f>
        <v>[GENERAL] [BACK] Mecanismo de autenticacion desde AWS-lambda a servicios .NET (SSO?APIMANEGER?) (.NET)</v>
      </c>
      <c r="C22">
        <f>ACTIVIDADES!K22</f>
        <v>16</v>
      </c>
    </row>
    <row r="23" spans="1:3" x14ac:dyDescent="0.35">
      <c r="A23" t="s">
        <v>491</v>
      </c>
      <c r="B23" t="str">
        <f>_xlfn.CONCAT("[",ACTIVIDADES!A23,"] [",ACTIVIDADES!C23,"] ",ACTIVIDADES!I23," (",ACTIVIDADES!B23,")")</f>
        <v>[GENERAL] [BACK] Mecanismo de autenticacion desde .NET hacia servicios AWS-lambda para pantallas superusuario (SSO?AWSSDK?) (.NET)</v>
      </c>
      <c r="C23">
        <f>ACTIVIDADES!K23</f>
        <v>16</v>
      </c>
    </row>
    <row r="24" spans="1:3" x14ac:dyDescent="0.35">
      <c r="A24" t="s">
        <v>491</v>
      </c>
      <c r="B24" t="str">
        <f>_xlfn.CONCAT("[",ACTIVIDADES!A24,"] [",ACTIVIDADES!C24,"] ",ACTIVIDADES!I24," (",ACTIVIDADES!B24,")")</f>
        <v>[DASHBOARD] [BACK] Servicio para registro de admin: correo, codigoactivacion (LAMBDA/DYNAMODB/COGNITO)</v>
      </c>
      <c r="C24">
        <f>ACTIVIDADES!K24</f>
        <v>24</v>
      </c>
    </row>
    <row r="25" spans="1:3" x14ac:dyDescent="0.35">
      <c r="A25" t="s">
        <v>491</v>
      </c>
      <c r="B25" t="str">
        <f>_xlfn.CONCAT("[",ACTIVIDADES!A25,"] [",ACTIVIDADES!C25,"] ",ACTIVIDADES!I25," (",ACTIVIDADES!B25,")")</f>
        <v>[DASHBOARD] [BACK] Servicio para registro de admin: codigo de confirmacion, pw, cpw (LAMBDA/DYNAMODB/COGNITO)</v>
      </c>
      <c r="C25">
        <f>ACTIVIDADES!K25</f>
        <v>8</v>
      </c>
    </row>
    <row r="26" spans="1:3" x14ac:dyDescent="0.35">
      <c r="A26" t="s">
        <v>491</v>
      </c>
      <c r="B26" t="str">
        <f>_xlfn.CONCAT("[",ACTIVIDADES!A26,"] [",ACTIVIDADES!C26,"] ",ACTIVIDADES!I26," (",ACTIVIDADES!B26,")")</f>
        <v>[DASHBOARD] [BACK] Servicio para login, lambda que se comunica con cognito, obtiene perfil, permisos, menus (LAMBDA/COGNITO)</v>
      </c>
      <c r="C26">
        <f>ACTIVIDADES!K26</f>
        <v>24</v>
      </c>
    </row>
    <row r="27" spans="1:3" x14ac:dyDescent="0.35">
      <c r="A27" t="s">
        <v>491</v>
      </c>
      <c r="B27" t="str">
        <f>_xlfn.CONCAT("[",ACTIVIDADES!A27,"] [",ACTIVIDADES!C27,"] ",ACTIVIDADES!I27," (",ACTIVIDADES!B27,")")</f>
        <v>[DASHBOARD] [BACK] Servicio para cerrar sesion, lambda que se comunica con cognito (LAMBDA/COGNITO)</v>
      </c>
      <c r="C27">
        <f>ACTIVIDADES!K27</f>
        <v>4</v>
      </c>
    </row>
    <row r="28" spans="1:3" x14ac:dyDescent="0.35">
      <c r="A28" t="s">
        <v>491</v>
      </c>
      <c r="B28" t="str">
        <f>_xlfn.CONCAT("[",ACTIVIDADES!A28,"] [",ACTIVIDADES!C28,"] ",ACTIVIDADES!I28," (",ACTIVIDADES!B28,")")</f>
        <v>[DASHBOARD] [BACK] Servicio para recuperacion: email (LAMBDA/COGNITO)</v>
      </c>
      <c r="C28">
        <f>ACTIVIDADES!K28</f>
        <v>8</v>
      </c>
    </row>
    <row r="29" spans="1:3" x14ac:dyDescent="0.35">
      <c r="A29" t="s">
        <v>491</v>
      </c>
      <c r="B29" t="str">
        <f>_xlfn.CONCAT("[",ACTIVIDADES!A29,"] [",ACTIVIDADES!C29,"] ",ACTIVIDADES!I29," (",ACTIVIDADES!B29,")")</f>
        <v>[DASHBOARD] [BACK] Servicio para reuperacion: codigo de confirmacion, pw, cpw (LAMBDA/COGNITO)</v>
      </c>
      <c r="C29">
        <f>ACTIVIDADES!K29</f>
        <v>4</v>
      </c>
    </row>
    <row r="30" spans="1:3" x14ac:dyDescent="0.35">
      <c r="A30" t="s">
        <v>491</v>
      </c>
      <c r="B30" t="str">
        <f>_xlfn.CONCAT("[",ACTIVIDADES!A30,"] [",ACTIVIDADES!C30,"] ",ACTIVIDADES!I30," (",ACTIVIDADES!B30,")")</f>
        <v>[DASHBOARD] [BACK] Servicio para actualizar contraseña (LAMBDA/COGNITO)</v>
      </c>
      <c r="C30">
        <f>ACTIVIDADES!K30</f>
        <v>8</v>
      </c>
    </row>
    <row r="31" spans="1:3" x14ac:dyDescent="0.35">
      <c r="A31" t="s">
        <v>491</v>
      </c>
      <c r="B31" t="str">
        <f>_xlfn.CONCAT("[",ACTIVIDADES!A31,"] [",ACTIVIDADES!C31,"] ",ACTIVIDADES!I31," (",ACTIVIDADES!B31,")")</f>
        <v>[DASHBOARD] [BACK] Servicio para obtener las empresas a las tiene acceso el adminsitrador (LAMBDA/DYNAMODB)</v>
      </c>
      <c r="C31">
        <f>ACTIVIDADES!K31</f>
        <v>8</v>
      </c>
    </row>
    <row r="32" spans="1:3" x14ac:dyDescent="0.35">
      <c r="A32" t="s">
        <v>491</v>
      </c>
      <c r="B32" t="str">
        <f>_xlfn.CONCAT("[",ACTIVIDADES!A32,"] [",ACTIVIDADES!C32,"] ",ACTIVIDADES!I32," (",ACTIVIDADES!B32,")")</f>
        <v>[DASHBOARD] [BACK] Servicio para obtener las empresas a las tiene acceso el adminsitrador (.NET)</v>
      </c>
      <c r="C32">
        <f>ACTIVIDADES!K32</f>
        <v>8</v>
      </c>
    </row>
    <row r="33" spans="1:3" x14ac:dyDescent="0.35">
      <c r="A33" t="s">
        <v>491</v>
      </c>
      <c r="B33" t="str">
        <f>_xlfn.CONCAT("[",ACTIVIDADES!A33,"] [",ACTIVIDADES!C33,"] ",ACTIVIDADES!I33," (",ACTIVIDADES!B33,")")</f>
        <v>[DASHBOARD] [BACK] Servicio para obtener resumen dashboard de una empresa (LAMBDA/DYNAMODB/.NET)</v>
      </c>
      <c r="C33">
        <f>ACTIVIDADES!K33</f>
        <v>8</v>
      </c>
    </row>
    <row r="34" spans="1:3" x14ac:dyDescent="0.35">
      <c r="A34" t="s">
        <v>491</v>
      </c>
      <c r="B34" t="str">
        <f>_xlfn.CONCAT("[",ACTIVIDADES!A34,"] [",ACTIVIDADES!C34,"] ",ACTIVIDADES!I34," (",ACTIVIDADES!B34,")")</f>
        <v>[DASHBOARD] [BACK] Servicio para consultar participantes de una empresa y sus estatus de activacion; considerar paginacion (10x10) (LAMBDA/DYNAMODB)</v>
      </c>
      <c r="C34">
        <f>ACTIVIDADES!K34</f>
        <v>16</v>
      </c>
    </row>
    <row r="35" spans="1:3" x14ac:dyDescent="0.35">
      <c r="A35" t="s">
        <v>491</v>
      </c>
      <c r="B35" t="str">
        <f>_xlfn.CONCAT("[",ACTIVIDADES!A35,"] [",ACTIVIDADES!C35,"] ",ACTIVIDADES!I35," (",ACTIVIDADES!B35,")")</f>
        <v>[DASHBOARD] [BACK] Servicio para consultar participantes de una empresa y sus estatus de activacion (.NET)</v>
      </c>
      <c r="C35">
        <f>ACTIVIDADES!K35</f>
        <v>8</v>
      </c>
    </row>
    <row r="36" spans="1:3" x14ac:dyDescent="0.35">
      <c r="A36" t="s">
        <v>491</v>
      </c>
      <c r="B36" t="str">
        <f>_xlfn.CONCAT("[",ACTIVIDADES!A36,"] [",ACTIVIDADES!C36,"] ",ACTIVIDADES!I36," (",ACTIVIDADES!B36,")")</f>
        <v>[DASHBOARD] [BACK] Servicio para activar participantes de manera masiva, y lanzar correo de activacion (LAMBDA/DYNAMODB)</v>
      </c>
      <c r="C36">
        <f>ACTIVIDADES!K36</f>
        <v>24</v>
      </c>
    </row>
    <row r="37" spans="1:3" x14ac:dyDescent="0.35">
      <c r="A37" t="s">
        <v>491</v>
      </c>
      <c r="B37" t="str">
        <f>_xlfn.CONCAT("[",ACTIVIDADES!A37,"] [",ACTIVIDADES!C37,"] ",ACTIVIDADES!I37," (",ACTIVIDADES!B37,")")</f>
        <v>[DASHBOARD] [BACK] Servicio para activar participantes de manera individual, y lanzar correo de activacion (LAMBDA/DYNAMODB)</v>
      </c>
      <c r="C37">
        <f>ACTIVIDADES!K37</f>
        <v>8</v>
      </c>
    </row>
    <row r="38" spans="1:3" x14ac:dyDescent="0.35">
      <c r="A38" t="s">
        <v>491</v>
      </c>
      <c r="B38" t="str">
        <f>_xlfn.CONCAT("[",ACTIVIDADES!A38,"] [",ACTIVIDADES!C38,"] ",ACTIVIDADES!I38," (",ACTIVIDADES!B38,")")</f>
        <v>[DASHBOARD] [BACK] Servicio para actualizar participante de manera individual: bloqueo, inactivar (LAMBDA/DYNAMODB)</v>
      </c>
      <c r="C38">
        <f>ACTIVIDADES!K38</f>
        <v>8</v>
      </c>
    </row>
    <row r="39" spans="1:3" x14ac:dyDescent="0.35">
      <c r="A39" t="s">
        <v>491</v>
      </c>
      <c r="B39" t="str">
        <f>_xlfn.CONCAT("[",ACTIVIDADES!A39,"] [",ACTIVIDADES!C39,"] ",ACTIVIDADES!I39," (",ACTIVIDADES!B39,")")</f>
        <v>[DASHBOARD] [BACK] Servicio para obtener los servicios de la empresa (LAMBDA/DYNAMODB)</v>
      </c>
      <c r="C39">
        <f>ACTIVIDADES!K39</f>
        <v>8</v>
      </c>
    </row>
    <row r="40" spans="1:3" x14ac:dyDescent="0.35">
      <c r="A40" t="s">
        <v>491</v>
      </c>
      <c r="B40" t="str">
        <f>_xlfn.CONCAT("[",ACTIVIDADES!A40,"] [",ACTIVIDADES!C40,"] ",ACTIVIDADES!I40," (",ACTIVIDADES!B40,")")</f>
        <v>[DASHBOARD] [BACK] Servicio para ACTIVAR O DESACTIVAR serviciio de la empresa (LAMBDA/DYNAMODB)</v>
      </c>
      <c r="C40">
        <f>ACTIVIDADES!K40</f>
        <v>4</v>
      </c>
    </row>
    <row r="41" spans="1:3" x14ac:dyDescent="0.35">
      <c r="A41" t="s">
        <v>491</v>
      </c>
      <c r="B41" t="str">
        <f>_xlfn.CONCAT("[",ACTIVIDADES!A41,"] [",ACTIVIDADES!C41,"] ",ACTIVIDADES!I41," (",ACTIVIDADES!B41,")")</f>
        <v>[DASHBOARD] [BACK] Servicio para obtener la configuracion de la empresa: aviso, mensaje, bloqueo, etc (LAMBDA/DYNAMODB)</v>
      </c>
      <c r="C41">
        <f>ACTIVIDADES!K41</f>
        <v>8</v>
      </c>
    </row>
    <row r="42" spans="1:3" x14ac:dyDescent="0.35">
      <c r="A42" t="s">
        <v>491</v>
      </c>
      <c r="B42" t="str">
        <f>_xlfn.CONCAT("[",ACTIVIDADES!A42,"] [",ACTIVIDADES!C42,"] ",ACTIVIDADES!I42," (",ACTIVIDADES!B42,")")</f>
        <v>[DASHBOARD] [BACK] Servicio para actualizar la configuracion de la empresa: aviso, mensaje, bloqueo, etc (LAMBDA/DYNAMODB)</v>
      </c>
      <c r="C42">
        <f>ACTIVIDADES!K42</f>
        <v>4</v>
      </c>
    </row>
    <row r="43" spans="1:3" x14ac:dyDescent="0.35">
      <c r="A43" t="s">
        <v>491</v>
      </c>
      <c r="B43" t="str">
        <f>_xlfn.CONCAT("[",ACTIVIDADES!A43,"] [",ACTIVIDADES!C43,"] ",ACTIVIDADES!I43," (",ACTIVIDADES!B43,")")</f>
        <v>[DASHBOARD] [BACK] Servicio para obtener la configuracion branding de la empresa (LAMBDA/DYNAMODB)</v>
      </c>
      <c r="C43">
        <f>ACTIVIDADES!K43</f>
        <v>8</v>
      </c>
    </row>
    <row r="44" spans="1:3" x14ac:dyDescent="0.35">
      <c r="A44" t="s">
        <v>491</v>
      </c>
      <c r="B44" t="str">
        <f>_xlfn.CONCAT("[",ACTIVIDADES!A44,"] [",ACTIVIDADES!C44,"] ",ACTIVIDADES!I44," (",ACTIVIDADES!B44,")")</f>
        <v>[DASHBOARD] [BACK] Servicio para actualizar la configuracion branding de la empresa (LAMBDA/DYNAMODB)</v>
      </c>
      <c r="C44">
        <f>ACTIVIDADES!K44</f>
        <v>4</v>
      </c>
    </row>
    <row r="45" spans="1:3" x14ac:dyDescent="0.35">
      <c r="A45" t="s">
        <v>491</v>
      </c>
      <c r="B45" t="str">
        <f>_xlfn.CONCAT("[",ACTIVIDADES!A45,"] [",ACTIVIDADES!C45,"] ",ACTIVIDADES!I45," (",ACTIVIDADES!B45,")")</f>
        <v>[VECTORPAI] [BACK] Servicio para obtener los grupos (LAMBDA/DYNAMODB)</v>
      </c>
      <c r="C45">
        <f>ACTIVIDADES!K45</f>
        <v>4</v>
      </c>
    </row>
    <row r="46" spans="1:3" x14ac:dyDescent="0.35">
      <c r="A46" t="s">
        <v>491</v>
      </c>
      <c r="B46" t="str">
        <f>_xlfn.CONCAT("[",ACTIVIDADES!A46,"] [",ACTIVIDADES!C46,"] ",ACTIVIDADES!I46," (",ACTIVIDADES!B46,")")</f>
        <v>[VECTORPAI] [BACK] Servicio para obtener contratos de un grupo (LAMBDA/DYNAMODB)</v>
      </c>
      <c r="C46">
        <f>ACTIVIDADES!K46</f>
        <v>4</v>
      </c>
    </row>
    <row r="47" spans="1:3" x14ac:dyDescent="0.35">
      <c r="A47" t="s">
        <v>491</v>
      </c>
      <c r="B47" t="str">
        <f>_xlfn.CONCAT("[",ACTIVIDADES!A47,"] [",ACTIVIDADES!C47,"] ",ACTIVIDADES!I47," (",ACTIVIDADES!B47,")")</f>
        <v>[VECTORPAI] [BACK] Servicio para agregar contrato(s) a un grupo de empres (LAMBDA/DYNAMODB)</v>
      </c>
      <c r="C47">
        <f>ACTIVIDADES!K47</f>
        <v>8</v>
      </c>
    </row>
    <row r="48" spans="1:3" x14ac:dyDescent="0.35">
      <c r="A48" t="s">
        <v>491</v>
      </c>
      <c r="B48" t="str">
        <f>_xlfn.CONCAT("[",ACTIVIDADES!A48,"] [",ACTIVIDADES!C48,"] ",ACTIVIDADES!I48," (",ACTIVIDADES!B48,")")</f>
        <v>[VECTORPAI] [BACK] Servicio para actualizar grupo: nombre, activo, bloqueo,etc (LAMBDA/DYNAMODB)</v>
      </c>
      <c r="C48">
        <f>ACTIVIDADES!K48</f>
        <v>4</v>
      </c>
    </row>
    <row r="49" spans="1:3" x14ac:dyDescent="0.35">
      <c r="A49" t="s">
        <v>491</v>
      </c>
      <c r="B49" t="str">
        <f>_xlfn.CONCAT("[",ACTIVIDADES!A49,"] [",ACTIVIDADES!C49,"] ",ACTIVIDADES!I49," (",ACTIVIDADES!B49,")")</f>
        <v>[VECTORPAI] [BACK] Servicio para obtener Adminsitradores: idadmin, nombre, grupo, contrato (LAMBDA/DYNAMODB)</v>
      </c>
      <c r="C49">
        <f>ACTIVIDADES!K49</f>
        <v>8</v>
      </c>
    </row>
    <row r="50" spans="1:3" x14ac:dyDescent="0.35">
      <c r="A50" t="s">
        <v>491</v>
      </c>
      <c r="B50" t="str">
        <f>_xlfn.CONCAT("[",ACTIVIDADES!A50,"] [",ACTIVIDADES!C50,"] ",ACTIVIDADES!I50," (",ACTIVIDADES!B50,")")</f>
        <v>[VECTORPAI] [BACK] Servicio para obtener los grupos disponibles (LAMBDA/DYNAMODB)</v>
      </c>
      <c r="C50">
        <f>ACTIVIDADES!K50</f>
        <v>4</v>
      </c>
    </row>
    <row r="51" spans="1:3" x14ac:dyDescent="0.35">
      <c r="A51" t="s">
        <v>491</v>
      </c>
      <c r="B51" t="str">
        <f>_xlfn.CONCAT("[",ACTIVIDADES!A51,"] [",ACTIVIDADES!C51,"] ",ACTIVIDADES!I51," (",ACTIVIDADES!B51,")")</f>
        <v>[VECTORPAI] [BACK] Servicio para obtener los contratos de un grupo seleccionado (LAMBDA/DYNAMODB)</v>
      </c>
      <c r="C51">
        <f>ACTIVIDADES!K51</f>
        <v>4</v>
      </c>
    </row>
    <row r="52" spans="1:3" x14ac:dyDescent="0.35">
      <c r="A52" t="s">
        <v>491</v>
      </c>
      <c r="B52" t="str">
        <f>_xlfn.CONCAT("[",ACTIVIDADES!A52,"] [",ACTIVIDADES!C52,"] ",ACTIVIDADES!I52," (",ACTIVIDADES!B52,")")</f>
        <v>[VECTORPAI] [BACK] Servicio para actualizar administrador-grupo-contrato, enviar codigo de activacion de admin (LAMBDA/DYNAMODB)</v>
      </c>
      <c r="C52">
        <f>ACTIVIDADES!K52</f>
        <v>8</v>
      </c>
    </row>
    <row r="53" spans="1:3" x14ac:dyDescent="0.35">
      <c r="A53" t="s">
        <v>491</v>
      </c>
      <c r="B53" t="str">
        <f>_xlfn.CONCAT("[",ACTIVIDADES!A53,"] [",ACTIVIDADES!C53,"] ",ACTIVIDADES!I53," (",ACTIVIDADES!B53,")")</f>
        <v>[VECTORPAI] [BACK] Servicio para actualizar administrador: activo, bloqueo,etc (LAMBDA/DYNAMODB)</v>
      </c>
      <c r="C53">
        <f>ACTIVIDADES!K53</f>
        <v>4</v>
      </c>
    </row>
    <row r="54" spans="1:3" x14ac:dyDescent="0.35">
      <c r="A54" t="s">
        <v>491</v>
      </c>
      <c r="B54" t="str">
        <f>_xlfn.CONCAT("[",ACTIVIDADES!A54,"] [",ACTIVIDADES!C54,"] ",ACTIVIDADES!I54," (",ACTIVIDADES!B54,")")</f>
        <v>[VECTORPAI] [BACK] Servicio para obtener la configuracion global (LAMBDA/DYNAMODB)</v>
      </c>
      <c r="C54">
        <f>ACTIVIDADES!K54</f>
        <v>4</v>
      </c>
    </row>
    <row r="55" spans="1:3" x14ac:dyDescent="0.35">
      <c r="A55" t="s">
        <v>491</v>
      </c>
      <c r="B55" t="str">
        <f>_xlfn.CONCAT("[",ACTIVIDADES!A55,"] [",ACTIVIDADES!C55,"] ",ACTIVIDADES!I55," (",ACTIVIDADES!B55,")")</f>
        <v>[VECTORPAI] [BACK] Servicio para actualizar la configuracion global (LAMBDA/DYNAMODB)</v>
      </c>
      <c r="C55">
        <f>ACTIVIDADES!K55</f>
        <v>4</v>
      </c>
    </row>
    <row r="56" spans="1:3" x14ac:dyDescent="0.35">
      <c r="A56" t="s">
        <v>491</v>
      </c>
      <c r="B56" t="str">
        <f>_xlfn.CONCAT("[",ACTIVIDADES!A56,"] [",ACTIVIDADES!C56,"] ",ACTIVIDADES!I56," (",ACTIVIDADES!B56,")")</f>
        <v>[VECTORPAI] [BACK] Generar SCRIPT para carga inicial de catalogos X9 (LAMBDA/DYNAMODB)</v>
      </c>
      <c r="C56">
        <f>ACTIVIDADES!K56</f>
        <v>8</v>
      </c>
    </row>
    <row r="57" spans="1:3" x14ac:dyDescent="0.35">
      <c r="A57" t="s">
        <v>491</v>
      </c>
      <c r="B57" t="str">
        <f>_xlfn.CONCAT("[",ACTIVIDADES!A57,"] [",ACTIVIDADES!C57,"] ",ACTIVIDADES!I57," (",ACTIVIDADES!B57,")")</f>
        <v>[VECTORPAI] [BACK] Servicio para obtener registros de bitacora, con filtros de fecha/hora, correo, considerar paginacion (10x10); exportacion (LAMBDA/DYNAMODB)</v>
      </c>
      <c r="C57">
        <f>ACTIVIDADES!K57</f>
        <v>30</v>
      </c>
    </row>
    <row r="58" spans="1:3" x14ac:dyDescent="0.35">
      <c r="A58" t="s">
        <v>491</v>
      </c>
      <c r="B58" t="str">
        <f>_xlfn.CONCAT("[",ACTIVIDADES!A58,"] [",ACTIVIDADES!C58,"] ",ACTIVIDADES!I58," (",ACTIVIDADES!B58,")")</f>
        <v>[MOVIL] [BACK] Servicio para registro de participante: correo, codigoactivacion (LAMBDA/DYNAMODB/COGNITO)</v>
      </c>
      <c r="C58">
        <f>ACTIVIDADES!K58</f>
        <v>12</v>
      </c>
    </row>
    <row r="59" spans="1:3" x14ac:dyDescent="0.35">
      <c r="A59" t="s">
        <v>491</v>
      </c>
      <c r="B59" t="str">
        <f>_xlfn.CONCAT("[",ACTIVIDADES!A59,"] [",ACTIVIDADES!C59,"] ",ACTIVIDADES!I59," (",ACTIVIDADES!B59,")")</f>
        <v>[MOVIL] [BACK] Servicio para registro de participante: codigo de confirmacion, pw, cpw (LAMBDA/DYNAMODB/COGNITO)</v>
      </c>
      <c r="C59">
        <f>ACTIVIDADES!K59</f>
        <v>4</v>
      </c>
    </row>
    <row r="60" spans="1:3" x14ac:dyDescent="0.35">
      <c r="A60" t="s">
        <v>491</v>
      </c>
      <c r="B60" t="str">
        <f>_xlfn.CONCAT("[",ACTIVIDADES!A60,"] [",ACTIVIDADES!C60,"] ",ACTIVIDADES!I60," (",ACTIVIDADES!B60,")")</f>
        <v>[MOVIL] [BACK] Servicio para login, lambda que se comunica con cognito, obtiene perfil del usuario, y perfil de la empresa (LAMBDA/COGNITO)</v>
      </c>
      <c r="C60">
        <f>ACTIVIDADES!K60</f>
        <v>12</v>
      </c>
    </row>
    <row r="61" spans="1:3" x14ac:dyDescent="0.35">
      <c r="A61" t="s">
        <v>491</v>
      </c>
      <c r="B61" t="str">
        <f>_xlfn.CONCAT("[",ACTIVIDADES!A61,"] [",ACTIVIDADES!C61,"] ",ACTIVIDADES!I61," (",ACTIVIDADES!B61,")")</f>
        <v>[MOVIL] [BACK] Servicio para cerrar sesion, lambda que se comunica con cognito (LAMBDA/COGNITO)</v>
      </c>
      <c r="C61">
        <f>ACTIVIDADES!K61</f>
        <v>2</v>
      </c>
    </row>
    <row r="62" spans="1:3" x14ac:dyDescent="0.35">
      <c r="A62" t="s">
        <v>491</v>
      </c>
      <c r="B62" t="str">
        <f>_xlfn.CONCAT("[",ACTIVIDADES!A62,"] [",ACTIVIDADES!C62,"] ",ACTIVIDADES!I62," (",ACTIVIDADES!B62,")")</f>
        <v>[MOVIL] [BACK] Servicio para recuperacion: email (LAMBDA/COGNITO)</v>
      </c>
      <c r="C62">
        <f>ACTIVIDADES!K62</f>
        <v>4</v>
      </c>
    </row>
    <row r="63" spans="1:3" x14ac:dyDescent="0.35">
      <c r="A63" t="s">
        <v>491</v>
      </c>
      <c r="B63" t="str">
        <f>_xlfn.CONCAT("[",ACTIVIDADES!A63,"] [",ACTIVIDADES!C63,"] ",ACTIVIDADES!I63," (",ACTIVIDADES!B63,")")</f>
        <v>[MOVIL] [BACK] Servicio para reuperacion: codigo de confirmacion, pw, cpw (LAMBDA/COGNITO)</v>
      </c>
      <c r="C63">
        <f>ACTIVIDADES!K63</f>
        <v>2</v>
      </c>
    </row>
    <row r="64" spans="1:3" x14ac:dyDescent="0.35">
      <c r="A64" t="s">
        <v>491</v>
      </c>
      <c r="B64" t="str">
        <f>_xlfn.CONCAT("[",ACTIVIDADES!A64,"] [",ACTIVIDADES!C64,"] ",ACTIVIDADES!I64," (",ACTIVIDADES!B64,")")</f>
        <v>[MOVIL] [BACK] Servicio para actualizar contraseña (LAMBDA/COGNITO)</v>
      </c>
      <c r="C64">
        <f>ACTIVIDADES!K64</f>
        <v>2</v>
      </c>
    </row>
    <row r="65" spans="1:3" x14ac:dyDescent="0.35">
      <c r="A65" t="s">
        <v>491</v>
      </c>
      <c r="B65" t="str">
        <f>_xlfn.CONCAT("[",ACTIVIDADES!A65,"] [",ACTIVIDADES!C65,"] ",ACTIVIDADES!I65," (",ACTIVIDADES!B65,")")</f>
        <v>[MOVIL] [BACK] Servicio para obtener resumen de los contratos asociados al participante (LAMBDA/DYNAMODB)</v>
      </c>
      <c r="C65">
        <f>ACTIVIDADES!K65</f>
        <v>4</v>
      </c>
    </row>
    <row r="66" spans="1:3" x14ac:dyDescent="0.35">
      <c r="A66" t="s">
        <v>491</v>
      </c>
      <c r="B66" t="str">
        <f>_xlfn.CONCAT("[",ACTIVIDADES!A66,"] [",ACTIVIDADES!C66,"] ",ACTIVIDADES!I66," (",ACTIVIDADES!B66,")")</f>
        <v>[MOVIL] [BACK] Servicio para obtener saldo del participante y meta de ahorro (LAMBDA/DYNAMODB)</v>
      </c>
      <c r="C66">
        <f>ACTIVIDADES!K66</f>
        <v>4</v>
      </c>
    </row>
    <row r="67" spans="1:3" x14ac:dyDescent="0.35">
      <c r="A67" t="s">
        <v>491</v>
      </c>
      <c r="B67" t="str">
        <f>_xlfn.CONCAT("[",ACTIVIDADES!A67,"] [",ACTIVIDADES!C67,"] ",ACTIVIDADES!I67," (",ACTIVIDADES!B67,")")</f>
        <v>[MOVIL] [BACK] Servicio para registrar meta de ahorro del participante (LAMBDA/DYNAMODB)</v>
      </c>
      <c r="C67">
        <f>ACTIVIDADES!K67</f>
        <v>4</v>
      </c>
    </row>
    <row r="68" spans="1:3" x14ac:dyDescent="0.35">
      <c r="A68" t="s">
        <v>491</v>
      </c>
      <c r="B68" t="str">
        <f>_xlfn.CONCAT("[",ACTIVIDADES!A68,"] [",ACTIVIDADES!C68,"] ",ACTIVIDADES!I68," (",ACTIVIDADES!B68,")")</f>
        <v>[MOVIL] [BACK] Servicio para obtener resumen de movimientos (LAMBDA/DYNAMODB)</v>
      </c>
      <c r="C68">
        <f>ACTIVIDADES!K68</f>
        <v>4</v>
      </c>
    </row>
    <row r="69" spans="1:3" x14ac:dyDescent="0.35">
      <c r="A69" t="s">
        <v>491</v>
      </c>
      <c r="B69" t="str">
        <f>_xlfn.CONCAT("[",ACTIVIDADES!A69,"] [",ACTIVIDADES!C69,"] ",ACTIVIDADES!I69," (",ACTIVIDADES!B69,")")</f>
        <v>[MOVIL] [BACK] Servicio para obtener DETALLE de movimientos (LAMBDA/DYNAMODB)</v>
      </c>
      <c r="C69">
        <f>ACTIVIDADES!K69</f>
        <v>4</v>
      </c>
    </row>
    <row r="70" spans="1:3" x14ac:dyDescent="0.35">
      <c r="A70" t="s">
        <v>491</v>
      </c>
      <c r="B70" t="str">
        <f>_xlfn.CONCAT("[",ACTIVIDADES!A70,"] [",ACTIVIDADES!C70,"] ",ACTIVIDADES!I70," (",ACTIVIDADES!B70,")")</f>
        <v>[MOVIL] [BACK] Servicio para obtener RESUMEN de prestamos (LAMBDA/DYNAMODB)</v>
      </c>
      <c r="C70">
        <f>ACTIVIDADES!K70</f>
        <v>4</v>
      </c>
    </row>
    <row r="71" spans="1:3" x14ac:dyDescent="0.35">
      <c r="A71" t="s">
        <v>491</v>
      </c>
      <c r="B71" t="str">
        <f>_xlfn.CONCAT("[",ACTIVIDADES!A71,"] [",ACTIVIDADES!C71,"] ",ACTIVIDADES!I71," (",ACTIVIDADES!B71,")")</f>
        <v>[MOVIL] [BACK] Servicio para obtener DETALLE de prestamos (LAMBDA/DYNAMODB)</v>
      </c>
      <c r="C71">
        <f>ACTIVIDADES!K71</f>
        <v>4</v>
      </c>
    </row>
    <row r="72" spans="1:3" x14ac:dyDescent="0.35">
      <c r="A72" t="s">
        <v>491</v>
      </c>
      <c r="B72" t="str">
        <f>_xlfn.CONCAT("[",ACTIVIDADES!A72,"] [",ACTIVIDADES!C72,"] ",ACTIVIDADES!I72," (",ACTIVIDADES!B72,")")</f>
        <v>[MOVIL] [BACK] Servicio para obtener meses disponibles de resumen de movs (LAMBDA/DYNAMODB)</v>
      </c>
      <c r="C72">
        <f>ACTIVIDADES!K72</f>
        <v>4</v>
      </c>
    </row>
    <row r="73" spans="1:3" x14ac:dyDescent="0.35">
      <c r="A73" t="s">
        <v>491</v>
      </c>
      <c r="B73" t="str">
        <f>_xlfn.CONCAT("[",ACTIVIDADES!A73,"] [",ACTIVIDADES!C73,"] ",ACTIVIDADES!I73," (",ACTIVIDADES!B73,")")</f>
        <v>[MOVIL] [BACK] Servicio para obtener generar y descargar pdf de resumen de movs (LAMBDA/DYNAMODB)</v>
      </c>
      <c r="C73">
        <f>ACTIVIDADES!K73</f>
        <v>24</v>
      </c>
    </row>
    <row r="74" spans="1:3" x14ac:dyDescent="0.35">
      <c r="A74" t="s">
        <v>491</v>
      </c>
      <c r="B74" t="str">
        <f>_xlfn.CONCAT("[",ACTIVIDADES!A74,"] [",ACTIVIDADES!C74,"] ",ACTIVIDADES!I74," (",ACTIVIDADES!B74,")")</f>
        <v>[MOVIL] [BACK] Servicio para obtener datos de la captura de pantalla, parametros; mostrar si hay un prestamo por autorizar y el monto (LAMBDA/DYNAMODB)</v>
      </c>
      <c r="C74">
        <f>ACTIVIDADES!K74</f>
        <v>4</v>
      </c>
    </row>
    <row r="75" spans="1:3" x14ac:dyDescent="0.35">
      <c r="A75" t="s">
        <v>491</v>
      </c>
      <c r="B75" t="str">
        <f>_xlfn.CONCAT("[",ACTIVIDADES!A75,"] [",ACTIVIDADES!C75,"] ",ACTIVIDADES!I75," (",ACTIVIDADES!B75,")")</f>
        <v>[MOVIL] [BACK] Servicio para simular el prestamo, llevar los calculos a la nube, conf tablas de amort (LAMBDA/DYNAMODB)</v>
      </c>
      <c r="C75">
        <f>ACTIVIDADES!K75</f>
        <v>24</v>
      </c>
    </row>
    <row r="76" spans="1:3" x14ac:dyDescent="0.35">
      <c r="A76" t="s">
        <v>491</v>
      </c>
      <c r="B76" t="str">
        <f>_xlfn.CONCAT("[",ACTIVIDADES!A76,"] [",ACTIVIDADES!C76,"] ",ACTIVIDADES!I76," (",ACTIVIDADES!B76,")")</f>
        <v>[MOVIL] [BACK] Servicio para solicitar el prestamos,  se valida que no exista un prestamo activo (LAMBDA/SQS)</v>
      </c>
      <c r="C76">
        <f>ACTIVIDADES!K76</f>
        <v>4</v>
      </c>
    </row>
    <row r="77" spans="1:3" x14ac:dyDescent="0.35">
      <c r="A77" t="s">
        <v>491</v>
      </c>
      <c r="B77" t="str">
        <f>_xlfn.CONCAT("[",ACTIVIDADES!A77,"] [",ACTIVIDADES!C77,"] ",ACTIVIDADES!I77," (",ACTIVIDADES!B77,")")</f>
        <v>[MOVIL] [BACK] Servicio para solicitar el prestamos,  se valida que no exista un prestamo activo (.NET)</v>
      </c>
      <c r="C77">
        <f>ACTIVIDADES!K77</f>
        <v>24</v>
      </c>
    </row>
    <row r="78" spans="1:3" x14ac:dyDescent="0.35">
      <c r="A78" t="s">
        <v>491</v>
      </c>
      <c r="B78" t="str">
        <f>_xlfn.CONCAT("[",ACTIVIDADES!A78,"] [",ACTIVIDADES!C78,"] ",ACTIVIDADES!I78," (",ACTIVIDADES!B78,")")</f>
        <v>[MOVIL] [BACK] Servicio para cancelar un prestamo (LAMBDA/SQS/)</v>
      </c>
      <c r="C78">
        <f>ACTIVIDADES!K78</f>
        <v>4</v>
      </c>
    </row>
    <row r="79" spans="1:3" x14ac:dyDescent="0.35">
      <c r="A79" t="s">
        <v>491</v>
      </c>
      <c r="B79" t="str">
        <f>_xlfn.CONCAT("[",ACTIVIDADES!A79,"] [",ACTIVIDADES!C79,"] ",ACTIVIDADES!I79," (",ACTIVIDADES!B79,")")</f>
        <v>[MOVIL] [BACK] Servicio para cancelar un prestamo (.NET)</v>
      </c>
      <c r="C79">
        <f>ACTIVIDADES!K79</f>
        <v>8</v>
      </c>
    </row>
    <row r="80" spans="1:3" x14ac:dyDescent="0.35">
      <c r="A80" t="s">
        <v>491</v>
      </c>
      <c r="B80" t="str">
        <f>_xlfn.CONCAT("[",ACTIVIDADES!A80,"] [",ACTIVIDADES!C80,"] ",ACTIVIDADES!I80," (",ACTIVIDADES!B80,")")</f>
        <v>[MOVIL] [BACK] Servicio para obtener datos de la captura de pantalla, parametros;  retiros con estatus de "en revision"; La lambda debe de encolar la peticion en SQS; actualizar banderaes en DynamoDB (LAMBDA/DYNAMODB)</v>
      </c>
      <c r="C80">
        <f>ACTIVIDADES!K80</f>
        <v>4</v>
      </c>
    </row>
    <row r="81" spans="1:3" x14ac:dyDescent="0.35">
      <c r="A81" t="s">
        <v>491</v>
      </c>
      <c r="B81" t="str">
        <f>_xlfn.CONCAT("[",ACTIVIDADES!A81,"] [",ACTIVIDADES!C81,"] ",ACTIVIDADES!I81," (",ACTIVIDADES!B81,")")</f>
        <v>[MOVIL] [BACK] Servicio para solicitar el retiro del participante (LAMBDA/SQS)</v>
      </c>
      <c r="C81">
        <f>ACTIVIDADES!K81</f>
        <v>4</v>
      </c>
    </row>
    <row r="82" spans="1:3" x14ac:dyDescent="0.35">
      <c r="A82" t="s">
        <v>491</v>
      </c>
      <c r="B82" t="str">
        <f>_xlfn.CONCAT("[",ACTIVIDADES!A82,"] [",ACTIVIDADES!C82,"] ",ACTIVIDADES!I82," (",ACTIVIDADES!B82,")")</f>
        <v>[MOVIL] [BACK] Servicio para solicitar el retiro del participante (.NET)</v>
      </c>
      <c r="C82">
        <f>ACTIVIDADES!K82</f>
        <v>24</v>
      </c>
    </row>
    <row r="83" spans="1:3" x14ac:dyDescent="0.35">
      <c r="A83" t="s">
        <v>491</v>
      </c>
      <c r="B83" t="str">
        <f>_xlfn.CONCAT("[",ACTIVIDADES!A83,"] [",ACTIVIDADES!C83,"] ",ACTIVIDADES!I83," (",ACTIVIDADES!B83,")")</f>
        <v>[MOVIL] [BACK] Servico para cancelar un retiro, solo permitir modificar en estatus "en revision" (LAMBDA/.NET)</v>
      </c>
      <c r="C83">
        <f>ACTIVIDADES!K83</f>
        <v>8</v>
      </c>
    </row>
    <row r="84" spans="1:3" x14ac:dyDescent="0.35">
      <c r="A84" t="s">
        <v>491</v>
      </c>
      <c r="B84" t="str">
        <f>_xlfn.CONCAT("[",ACTIVIDADES!A84,"] [",ACTIVIDADES!C84,"] ",ACTIVIDADES!I84," (",ACTIVIDADES!B84,")")</f>
        <v>[DASHBOARD] [FRONT] Pantalla para registro de admin: registro y confirmacion  (REACT)</v>
      </c>
      <c r="C84">
        <f>ACTIVIDADES!K84</f>
        <v>8</v>
      </c>
    </row>
    <row r="85" spans="1:3" x14ac:dyDescent="0.35">
      <c r="A85" t="s">
        <v>491</v>
      </c>
      <c r="B85" t="str">
        <f>_xlfn.CONCAT("[",ACTIVIDADES!A85,"] [",ACTIVIDADES!C85,"] ",ACTIVIDADES!I85," (",ACTIVIDADES!B85,")")</f>
        <v>[DASHBOARD] [FRONT] Pantalla para realizar login, obtener token de sesion y perfil  (REACT)</v>
      </c>
      <c r="C85">
        <f>ACTIVIDADES!K85</f>
        <v>8</v>
      </c>
    </row>
    <row r="86" spans="1:3" x14ac:dyDescent="0.35">
      <c r="A86" t="s">
        <v>491</v>
      </c>
      <c r="B86" t="str">
        <f>_xlfn.CONCAT("[",ACTIVIDADES!A86,"] [",ACTIVIDADES!C86,"] ",ACTIVIDADES!I86," (",ACTIVIDADES!B86,")")</f>
        <v>[DASHBOARD] [FRONT] Pantalla para relizar recuperacion de contraseña, captura (REACT)</v>
      </c>
      <c r="C86">
        <f>ACTIVIDADES!K86</f>
        <v>8</v>
      </c>
    </row>
    <row r="87" spans="1:3" x14ac:dyDescent="0.35">
      <c r="A87" t="s">
        <v>491</v>
      </c>
      <c r="B87" t="str">
        <f>_xlfn.CONCAT("[",ACTIVIDADES!A87,"] [",ACTIVIDADES!C87,"] ",ACTIVIDADES!I87," (",ACTIVIDADES!B87,")")</f>
        <v>[DASHBOARD] [FRONT] Manejo expiracion de sesion (REACT)</v>
      </c>
      <c r="C87">
        <f>ACTIVIDADES!K87</f>
        <v>16</v>
      </c>
    </row>
    <row r="88" spans="1:3" x14ac:dyDescent="0.35">
      <c r="A88" t="s">
        <v>491</v>
      </c>
      <c r="B88" t="str">
        <f>_xlfn.CONCAT("[",ACTIVIDADES!A88,"] [",ACTIVIDADES!C88,"] ",ACTIVIDADES!I88," (",ACTIVIDADES!B88,")")</f>
        <v>[DASHBOARD] [FRONT] Pantalla para presentar Mensaje Popup Aviso (REACT)</v>
      </c>
      <c r="C88">
        <f>ACTIVIDADES!K88</f>
        <v>4</v>
      </c>
    </row>
    <row r="89" spans="1:3" x14ac:dyDescent="0.35">
      <c r="A89" t="s">
        <v>491</v>
      </c>
      <c r="B89" t="str">
        <f>_xlfn.CONCAT("[",ACTIVIDADES!A89,"] [",ACTIVIDADES!C89,"] ",ACTIVIDADES!I89," (",ACTIVIDADES!B89,")")</f>
        <v>[DASHBOARD] [FRONT] Banner Texto en la parte superior (REACT)</v>
      </c>
      <c r="C89">
        <f>ACTIVIDADES!K89</f>
        <v>4</v>
      </c>
    </row>
    <row r="90" spans="1:3" x14ac:dyDescent="0.35">
      <c r="A90" t="s">
        <v>491</v>
      </c>
      <c r="B90" t="str">
        <f>_xlfn.CONCAT("[",ACTIVIDADES!A90,"] [",ACTIVIDADES!C90,"] ",ACTIVIDADES!I90," (",ACTIVIDADES!B90,")")</f>
        <v>[DASHBOARD] [FRONT] Pantalla para soliictar permiso y obtener geolocalizacion del usuario (REACT)</v>
      </c>
      <c r="C90">
        <f>ACTIVIDADES!K90</f>
        <v>16</v>
      </c>
    </row>
    <row r="91" spans="1:3" x14ac:dyDescent="0.35">
      <c r="A91" t="s">
        <v>491</v>
      </c>
      <c r="B91" t="str">
        <f>_xlfn.CONCAT("[",ACTIVIDADES!A91,"] [",ACTIVIDADES!C91,"] ",ACTIVIDADES!I91," (",ACTIVIDADES!B91,")")</f>
        <v>[DASHBOARD] [FRONT] Pantalla para realizar cambio de contraseña, revisar tema de password expirado cognito (REACT)</v>
      </c>
      <c r="C91">
        <f>ACTIVIDADES!K91</f>
        <v>8</v>
      </c>
    </row>
    <row r="92" spans="1:3" x14ac:dyDescent="0.35">
      <c r="A92" t="s">
        <v>491</v>
      </c>
      <c r="B92" t="str">
        <f>_xlfn.CONCAT("[",ACTIVIDADES!A92,"] [",ACTIVIDADES!C92,"] ",ACTIVIDADES!I92," (",ACTIVIDADES!B92,")")</f>
        <v>[DASHBOARD] [FRONT] Pantalla para selección de empresa a las tiene acceso el adminsitrador (REACT)</v>
      </c>
      <c r="C92">
        <f>ACTIVIDADES!K92</f>
        <v>8</v>
      </c>
    </row>
    <row r="93" spans="1:3" x14ac:dyDescent="0.35">
      <c r="A93" t="s">
        <v>491</v>
      </c>
      <c r="B93" t="str">
        <f>_xlfn.CONCAT("[",ACTIVIDADES!A93,"] [",ACTIVIDADES!C93,"] ",ACTIVIDADES!I93," (",ACTIVIDADES!B93,")")</f>
        <v>[DASHBOARD] [FRONT] Opcion para realizar cambio de contraseña/cierre sesion (REACT)</v>
      </c>
      <c r="C93">
        <f>ACTIVIDADES!K93</f>
        <v>8</v>
      </c>
    </row>
    <row r="94" spans="1:3" x14ac:dyDescent="0.35">
      <c r="A94" t="s">
        <v>491</v>
      </c>
      <c r="B94" t="str">
        <f>_xlfn.CONCAT("[",ACTIVIDADES!A94,"] [",ACTIVIDADES!C94,"] ",ACTIVIDADES!I94," (",ACTIVIDADES!B94,")")</f>
        <v>[DASHBOARD] [FRONT] Presentar opciones del menu en base al perfil y empresa seleccionada, icono empresa (REACT)</v>
      </c>
      <c r="C94">
        <f>ACTIVIDADES!K94</f>
        <v>4</v>
      </c>
    </row>
    <row r="95" spans="1:3" x14ac:dyDescent="0.35">
      <c r="A95" t="s">
        <v>491</v>
      </c>
      <c r="B95" t="str">
        <f>_xlfn.CONCAT("[",ACTIVIDADES!A95,"] [",ACTIVIDADES!C95,"] ",ACTIVIDADES!I95," (",ACTIVIDADES!B95,")")</f>
        <v>[DASHBOARD] [FRONT] Patnalla para presentar resumen dashboard de una empresa (REACT)</v>
      </c>
      <c r="C95">
        <f>ACTIVIDADES!K95</f>
        <v>8</v>
      </c>
    </row>
    <row r="96" spans="1:3" x14ac:dyDescent="0.35">
      <c r="A96" t="s">
        <v>491</v>
      </c>
      <c r="B96" t="str">
        <f>_xlfn.CONCAT("[",ACTIVIDADES!A96,"] [",ACTIVIDADES!C96,"] ",ACTIVIDADES!I96," (",ACTIVIDADES!B96,")")</f>
        <v>[DASHBOARD] [FRONT] Pantalla para consultar participantes de una empresa y sus estatus de activacion (REACT)</v>
      </c>
      <c r="C96">
        <f>ACTIVIDADES!K96</f>
        <v>8</v>
      </c>
    </row>
    <row r="97" spans="1:3" x14ac:dyDescent="0.35">
      <c r="A97" t="s">
        <v>491</v>
      </c>
      <c r="B97" t="str">
        <f>_xlfn.CONCAT("[",ACTIVIDADES!A97,"] [",ACTIVIDADES!C97,"] ",ACTIVIDADES!I97," (",ACTIVIDADES!B97,")")</f>
        <v>[DASHBOARD] [FRONT] Pantalla para activar participantes de manera masiva (REACT)</v>
      </c>
      <c r="C97">
        <f>ACTIVIDADES!K97</f>
        <v>24</v>
      </c>
    </row>
    <row r="98" spans="1:3" x14ac:dyDescent="0.35">
      <c r="A98" t="s">
        <v>491</v>
      </c>
      <c r="B98" t="str">
        <f>_xlfn.CONCAT("[",ACTIVIDADES!A98,"] [",ACTIVIDADES!C98,"] ",ACTIVIDADES!I98," (",ACTIVIDADES!B98,")")</f>
        <v>[DASHBOARD] [FRONT] Pantalla para activar participantes de manera individual (REACT)</v>
      </c>
      <c r="C98">
        <f>ACTIVIDADES!K98</f>
        <v>16</v>
      </c>
    </row>
    <row r="99" spans="1:3" x14ac:dyDescent="0.35">
      <c r="A99" t="s">
        <v>491</v>
      </c>
      <c r="B99" t="str">
        <f>_xlfn.CONCAT("[",ACTIVIDADES!A99,"] [",ACTIVIDADES!C99,"] ",ACTIVIDADES!I99," (",ACTIVIDADES!B99,")")</f>
        <v>[DASHBOARD] [FRONT] Pantalla para actualizar participante de manera individual: bloqueo, inactivar (REACT)</v>
      </c>
      <c r="C99">
        <f>ACTIVIDADES!K99</f>
        <v>8</v>
      </c>
    </row>
    <row r="100" spans="1:3" x14ac:dyDescent="0.35">
      <c r="A100" t="s">
        <v>491</v>
      </c>
      <c r="B100" t="str">
        <f>_xlfn.CONCAT("[",ACTIVIDADES!A100,"] [",ACTIVIDADES!C100,"] ",ACTIVIDADES!I100," (",ACTIVIDADES!B100,")")</f>
        <v>[DASHBOARD] [FRONT] Pantalla para obtener los servicios de la empresa (REACT)</v>
      </c>
      <c r="C100">
        <f>ACTIVIDADES!K100</f>
        <v>4</v>
      </c>
    </row>
    <row r="101" spans="1:3" x14ac:dyDescent="0.35">
      <c r="A101" t="s">
        <v>491</v>
      </c>
      <c r="B101" t="str">
        <f>_xlfn.CONCAT("[",ACTIVIDADES!A101,"] [",ACTIVIDADES!C101,"] ",ACTIVIDADES!I101," (",ACTIVIDADES!B101,")")</f>
        <v>[DASHBOARD] [FRONT] Pantalla para ACTIVAR O DESACTIVAR serviciio de la empresa (REACT)</v>
      </c>
      <c r="C101">
        <f>ACTIVIDADES!K101</f>
        <v>4</v>
      </c>
    </row>
    <row r="102" spans="1:3" x14ac:dyDescent="0.35">
      <c r="A102" t="s">
        <v>491</v>
      </c>
      <c r="B102" t="str">
        <f>_xlfn.CONCAT("[",ACTIVIDADES!A102,"] [",ACTIVIDADES!C102,"] ",ACTIVIDADES!I102," (",ACTIVIDADES!B102,")")</f>
        <v>[DASHBOARD] [FRONT] Pantalla para presentar y actualizar la configuracion de la empresa: mensaje, aviso, bloqueo, etc (REACT)</v>
      </c>
      <c r="C102">
        <f>ACTIVIDADES!K102</f>
        <v>8</v>
      </c>
    </row>
    <row r="103" spans="1:3" x14ac:dyDescent="0.35">
      <c r="A103" t="s">
        <v>491</v>
      </c>
      <c r="B103" t="str">
        <f>_xlfn.CONCAT("[",ACTIVIDADES!A103,"] [",ACTIVIDADES!C103,"] ",ACTIVIDADES!I103," (",ACTIVIDADES!B103,")")</f>
        <v>[DASHBOARD] [FRONT] Pantalla para presentar y actualizar la configuracion branding de la empresa (REACT)</v>
      </c>
      <c r="C103">
        <f>ACTIVIDADES!K103</f>
        <v>8</v>
      </c>
    </row>
    <row r="104" spans="1:3" x14ac:dyDescent="0.35">
      <c r="A104" t="s">
        <v>491</v>
      </c>
      <c r="B104" t="str">
        <f>_xlfn.CONCAT("[",ACTIVIDADES!A104,"] [",ACTIVIDADES!C104,"] ",ACTIVIDADES!I104," (",ACTIVIDADES!B104,")")</f>
        <v>[DASHBOARD] [FRONT] Configuracion de Proyecto REACT, git repositories (REACT)</v>
      </c>
      <c r="C104">
        <f>ACTIVIDADES!K104</f>
        <v>8</v>
      </c>
    </row>
    <row r="105" spans="1:3" x14ac:dyDescent="0.35">
      <c r="A105" t="s">
        <v>491</v>
      </c>
      <c r="B105" t="str">
        <f>_xlfn.CONCAT("[",ACTIVIDADES!A105,"] [",ACTIVIDADES!C105,"] ",ACTIVIDADES!I105," (",ACTIVIDADES!B105,")")</f>
        <v>[DASHBOARD] [FRONT] Configuracion de proyecto amplify pipilines DEV/QA/PROD vs Git (REACT)</v>
      </c>
      <c r="C105">
        <f>ACTIVIDADES!K105</f>
        <v>8</v>
      </c>
    </row>
    <row r="106" spans="1:3" x14ac:dyDescent="0.35">
      <c r="A106" t="s">
        <v>491</v>
      </c>
      <c r="B106" t="str">
        <f>_xlfn.CONCAT("[",ACTIVIDADES!A106,"] [",ACTIVIDADES!C106,"] ",ACTIVIDADES!I106," (",ACTIVIDADES!B106,")")</f>
        <v>[DASHBOARD] [FRONT] Configuracion base de servicios .env, Sagas, manejor de sesion JWT, resonsehandle, etc (REACT)</v>
      </c>
      <c r="C106">
        <f>ACTIVIDADES!K106</f>
        <v>40</v>
      </c>
    </row>
    <row r="107" spans="1:3" x14ac:dyDescent="0.35">
      <c r="A107" t="s">
        <v>491</v>
      </c>
      <c r="B107" t="str">
        <f>_xlfn.CONCAT("[",ACTIVIDADES!A107,"] [",ACTIVIDADES!C107,"] ",ACTIVIDADES!I107," (",ACTIVIDADES!B107,")")</f>
        <v>[DASHBOARD] [FRONT] Configuracion de HOST domain: DEV/QA/PROD (REACT)</v>
      </c>
      <c r="C107">
        <f>ACTIVIDADES!K107</f>
        <v>16</v>
      </c>
    </row>
    <row r="108" spans="1:3" x14ac:dyDescent="0.35">
      <c r="A108" t="s">
        <v>491</v>
      </c>
      <c r="B108" t="str">
        <f>_xlfn.CONCAT("[",ACTIVIDADES!A108,"] [",ACTIVIDADES!C108,"] ",ACTIVIDADES!I108," (",ACTIVIDADES!B108,")")</f>
        <v>[VECTORPAI] [FRONT] Modulo para AGREGAR grupo de contratos (.NET GRAFICO)</v>
      </c>
      <c r="C108">
        <f>ACTIVIDADES!K108</f>
        <v>4</v>
      </c>
    </row>
    <row r="109" spans="1:3" x14ac:dyDescent="0.35">
      <c r="A109" t="s">
        <v>491</v>
      </c>
      <c r="B109" t="str">
        <f>_xlfn.CONCAT("[",ACTIVIDADES!A109,"] [",ACTIVIDADES!C109,"] ",ACTIVIDADES!I109," (",ACTIVIDADES!B109,")")</f>
        <v>[VECTORPAI] [FRONT] Modulo para relacionar contratos a Grupos de Empresas (.NET GRAFICO)</v>
      </c>
      <c r="C109">
        <f>ACTIVIDADES!K109</f>
        <v>4</v>
      </c>
    </row>
    <row r="110" spans="1:3" x14ac:dyDescent="0.35">
      <c r="A110" t="s">
        <v>491</v>
      </c>
      <c r="B110" t="str">
        <f>_xlfn.CONCAT("[",ACTIVIDADES!A110,"] [",ACTIVIDADES!C110,"] ",ACTIVIDADES!I110," (",ACTIVIDADES!B110,")")</f>
        <v>[VECTORPAI] [FRONT] Modulo para asignar administradores a una grupo y/o contrato (.NET GRAFICO)</v>
      </c>
      <c r="C110">
        <f>ACTIVIDADES!K110</f>
        <v>4</v>
      </c>
    </row>
    <row r="111" spans="1:3" x14ac:dyDescent="0.35">
      <c r="A111" t="s">
        <v>491</v>
      </c>
      <c r="B111" t="str">
        <f>_xlfn.CONCAT("[",ACTIVIDADES!A111,"] [",ACTIVIDADES!C111,"] ",ACTIVIDADES!I111," (",ACTIVIDADES!B111,")")</f>
        <v>[VECTORPAI] [FRONT] Pantalla para actualizar adminsitradores de manera individual: bloqueo, inactivar (.NET GRAFICO)</v>
      </c>
      <c r="C111">
        <f>ACTIVIDADES!K111</f>
        <v>8</v>
      </c>
    </row>
    <row r="112" spans="1:3" x14ac:dyDescent="0.35">
      <c r="A112" t="s">
        <v>491</v>
      </c>
      <c r="B112" t="str">
        <f>_xlfn.CONCAT("[",ACTIVIDADES!A112,"] [",ACTIVIDADES!C112,"] ",ACTIVIDADES!I112," (",ACTIVIDADES!B112,")")</f>
        <v>[VECTORPAI] [FRONT] Modulo bloquear acceso y colocar mensaje, banner o aviso (.NET GRAFICO)</v>
      </c>
      <c r="C112">
        <f>ACTIVIDADES!K112</f>
        <v>8</v>
      </c>
    </row>
    <row r="113" spans="1:3" x14ac:dyDescent="0.35">
      <c r="A113" t="s">
        <v>491</v>
      </c>
      <c r="B113" t="str">
        <f>_xlfn.CONCAT("[",ACTIVIDADES!A113,"] [",ACTIVIDADES!C113,"] ",ACTIVIDADES!I113," (",ACTIVIDADES!B113,")")</f>
        <v>[VECTORPAI] [FRONT] Pantalla para presentar bitacora de acceso, con paginacion (10x10) y filtros  (.NET GRAFICO)</v>
      </c>
      <c r="C113">
        <f>ACTIVIDADES!K113</f>
        <v>16</v>
      </c>
    </row>
    <row r="114" spans="1:3" x14ac:dyDescent="0.35">
      <c r="A114" t="s">
        <v>491</v>
      </c>
      <c r="B114" t="str">
        <f>_xlfn.CONCAT("[",ACTIVIDADES!A114,"] [",ACTIVIDADES!C114,"] ",ACTIVIDADES!I114," (",ACTIVIDADES!B114,")")</f>
        <v>[MOVIL] [FRONT] Configuracion base de servicios .env, Sagas, manejor de sesion JWT, resonsehandle, etc (REACT NATIVE)</v>
      </c>
      <c r="C114">
        <f>ACTIVIDADES!K114</f>
        <v>40</v>
      </c>
    </row>
    <row r="115" spans="1:3" x14ac:dyDescent="0.35">
      <c r="A115" t="s">
        <v>491</v>
      </c>
      <c r="B115" t="str">
        <f>_xlfn.CONCAT("[",ACTIVIDADES!A115,"] [",ACTIVIDADES!C115,"] ",ACTIVIDADES!I115," (",ACTIVIDADES!B115,")")</f>
        <v>[MOVIL] [FRONT] Pantalla para registro de admin: registro y confirmacion (REACT NATIVE)</v>
      </c>
      <c r="C115">
        <f>ACTIVIDADES!K115</f>
        <v>8</v>
      </c>
    </row>
    <row r="116" spans="1:3" x14ac:dyDescent="0.35">
      <c r="A116" t="s">
        <v>491</v>
      </c>
      <c r="B116" t="str">
        <f>_xlfn.CONCAT("[",ACTIVIDADES!A116,"] [",ACTIVIDADES!C116,"] ",ACTIVIDADES!I116," (",ACTIVIDADES!B116,")")</f>
        <v>[MOVIL] [FRONT] Pantalla para realizar login, obtener token de sesion y perfil  (REACT NATIVE)</v>
      </c>
      <c r="C116">
        <f>ACTIVIDADES!K116</f>
        <v>8</v>
      </c>
    </row>
    <row r="117" spans="1:3" x14ac:dyDescent="0.35">
      <c r="A117" t="s">
        <v>491</v>
      </c>
      <c r="B117" t="str">
        <f>_xlfn.CONCAT("[",ACTIVIDADES!A117,"] [",ACTIVIDADES!C117,"] ",ACTIVIDADES!I117," (",ACTIVIDADES!B117,")")</f>
        <v>[MOVIL] [FRONT] Pantalla para relizar recuperacion de contraseña, captura (REACT NATIVE)</v>
      </c>
      <c r="C117">
        <f>ACTIVIDADES!K117</f>
        <v>8</v>
      </c>
    </row>
    <row r="118" spans="1:3" x14ac:dyDescent="0.35">
      <c r="A118" t="s">
        <v>491</v>
      </c>
      <c r="B118" t="str">
        <f>_xlfn.CONCAT("[",ACTIVIDADES!A118,"] [",ACTIVIDADES!C118,"] ",ACTIVIDADES!I118," (",ACTIVIDADES!B118,")")</f>
        <v>[MOVIL] [FRONT] Manejo expiracion de sesion (REACT NATIVE)</v>
      </c>
      <c r="C118">
        <f>ACTIVIDADES!K118</f>
        <v>16</v>
      </c>
    </row>
    <row r="119" spans="1:3" x14ac:dyDescent="0.35">
      <c r="A119" t="s">
        <v>491</v>
      </c>
      <c r="B119" t="str">
        <f>_xlfn.CONCAT("[",ACTIVIDADES!A119,"] [",ACTIVIDADES!C119,"] ",ACTIVIDADES!I119," (",ACTIVIDADES!B119,")")</f>
        <v>[MOVIL] [FRONT] Opcion para forzar actualizacion de app, por version vigente (REACT NATIVE)</v>
      </c>
      <c r="C119">
        <f>ACTIVIDADES!K119</f>
        <v>8</v>
      </c>
    </row>
    <row r="120" spans="1:3" x14ac:dyDescent="0.35">
      <c r="A120" t="s">
        <v>491</v>
      </c>
      <c r="B120" t="str">
        <f>_xlfn.CONCAT("[",ACTIVIDADES!A120,"] [",ACTIVIDADES!C120,"] ",ACTIVIDADES!I120," (",ACTIVIDADES!B120,")")</f>
        <v>[MOVIL] [FRONT] Opcion para presentar Mensaje Popup Aviso (REACT NATIVE)</v>
      </c>
      <c r="C120">
        <f>ACTIVIDADES!K120</f>
        <v>4</v>
      </c>
    </row>
    <row r="121" spans="1:3" x14ac:dyDescent="0.35">
      <c r="A121" t="s">
        <v>491</v>
      </c>
      <c r="B121" t="str">
        <f>_xlfn.CONCAT("[",ACTIVIDADES!A121,"] [",ACTIVIDADES!C121,"] ",ACTIVIDADES!I121," (",ACTIVIDADES!B121,")")</f>
        <v>[MOVIL] [FRONT] Banner Texto en la parte superior (REACT NATIVE)</v>
      </c>
      <c r="C121">
        <f>ACTIVIDADES!K121</f>
        <v>4</v>
      </c>
    </row>
    <row r="122" spans="1:3" x14ac:dyDescent="0.35">
      <c r="A122" t="s">
        <v>491</v>
      </c>
      <c r="B122" t="str">
        <f>_xlfn.CONCAT("[",ACTIVIDADES!A122,"] [",ACTIVIDADES!C122,"] ",ACTIVIDADES!I122," (",ACTIVIDADES!B122,")")</f>
        <v>[MOVIL] [FRONT] Aplicar branding de empresa (styles e icono empresa) en base al perfil (REACT NATIVE)</v>
      </c>
      <c r="C122">
        <f>ACTIVIDADES!K122</f>
        <v>32</v>
      </c>
    </row>
    <row r="123" spans="1:3" x14ac:dyDescent="0.35">
      <c r="A123" t="s">
        <v>491</v>
      </c>
      <c r="B123" t="str">
        <f>_xlfn.CONCAT("[",ACTIVIDADES!A123,"] [",ACTIVIDADES!C123,"] ",ACTIVIDADES!I123," (",ACTIVIDADES!B123,")")</f>
        <v>[MOVIL] [FRONT] Presentar opciones de menu en base a perfil de usuario (REACT NATIVE)</v>
      </c>
      <c r="C123">
        <f>ACTIVIDADES!K123</f>
        <v>4</v>
      </c>
    </row>
    <row r="124" spans="1:3" x14ac:dyDescent="0.35">
      <c r="A124" t="s">
        <v>491</v>
      </c>
      <c r="B124" t="str">
        <f>_xlfn.CONCAT("[",ACTIVIDADES!A124,"] [",ACTIVIDADES!C124,"] ",ACTIVIDADES!I124," (",ACTIVIDADES!B124,")")</f>
        <v>[MOVIL] [FRONT] Pantalla para soliictar permiso y obtener geolocalizacion del usuario (REACT NATIVE)</v>
      </c>
      <c r="C124">
        <f>ACTIVIDADES!K124</f>
        <v>16</v>
      </c>
    </row>
    <row r="125" spans="1:3" x14ac:dyDescent="0.35">
      <c r="A125" t="s">
        <v>491</v>
      </c>
      <c r="B125" t="str">
        <f>_xlfn.CONCAT("[",ACTIVIDADES!A125,"] [",ACTIVIDADES!C125,"] ",ACTIVIDADES!I125," (",ACTIVIDADES!B125,")")</f>
        <v>[MOVIL] [FRONT] Pantalla para realizar cambio de contraseña, revisar tema de password expirado cognito (REACT NATIVE)</v>
      </c>
      <c r="C125">
        <f>ACTIVIDADES!K125</f>
        <v>8</v>
      </c>
    </row>
    <row r="126" spans="1:3" x14ac:dyDescent="0.35">
      <c r="A126" t="s">
        <v>491</v>
      </c>
      <c r="B126" t="str">
        <f>_xlfn.CONCAT("[",ACTIVIDADES!A126,"] [",ACTIVIDADES!C126,"] ",ACTIVIDADES!I126," (",ACTIVIDADES!B126,")")</f>
        <v>[MOVIL] [FRONT] Pantalla para presentar los contratos asociados al participante y selección  (REACT NATIVE)</v>
      </c>
      <c r="C126">
        <f>ACTIVIDADES!K126</f>
        <v>8</v>
      </c>
    </row>
    <row r="127" spans="1:3" x14ac:dyDescent="0.35">
      <c r="A127" t="s">
        <v>491</v>
      </c>
      <c r="B127" t="str">
        <f>_xlfn.CONCAT("[",ACTIVIDADES!A127,"] [",ACTIVIDADES!C127,"] ",ACTIVIDADES!I127," (",ACTIVIDADES!B127,")")</f>
        <v>[MOVIL] [FRONT] Presentar opciones del menu en base al perfil y empresa seleccionada (REACT NATIVE)</v>
      </c>
      <c r="C127">
        <f>ACTIVIDADES!K127</f>
        <v>8</v>
      </c>
    </row>
    <row r="128" spans="1:3" x14ac:dyDescent="0.35">
      <c r="A128" t="s">
        <v>491</v>
      </c>
      <c r="B128" t="str">
        <f>_xlfn.CONCAT("[",ACTIVIDADES!A128,"] [",ACTIVIDADES!C128,"] ",ACTIVIDADES!I128," (",ACTIVIDADES!B128,")")</f>
        <v>[MOVIL] [FRONT] Opcion para realizar cambio de contraseña/cierre sesion (REACT NATIVE)</v>
      </c>
      <c r="C128">
        <f>ACTIVIDADES!K128</f>
        <v>8</v>
      </c>
    </row>
    <row r="129" spans="1:3" x14ac:dyDescent="0.35">
      <c r="A129" t="s">
        <v>491</v>
      </c>
      <c r="B129" t="str">
        <f>_xlfn.CONCAT("[",ACTIVIDADES!A129,"] [",ACTIVIDADES!C129,"] ",ACTIVIDADES!I129," (",ACTIVIDADES!B129,")")</f>
        <v>[MOVIL] [FRONT] Opcion para pantalla de Acerca de y ayuda (REACT NATIVE)</v>
      </c>
      <c r="C129">
        <f>ACTIVIDADES!K129</f>
        <v>4</v>
      </c>
    </row>
    <row r="130" spans="1:3" x14ac:dyDescent="0.35">
      <c r="A130" t="s">
        <v>491</v>
      </c>
      <c r="B130" t="str">
        <f>_xlfn.CONCAT("[",ACTIVIDADES!A130,"] [",ACTIVIDADES!C130,"] ",ACTIVIDADES!I130," (",ACTIVIDADES!B130,")")</f>
        <v>[MOVIL] [FRONT] Seccion en pantalla principal para presentar saldo del participante y meta de ahorro (REACT NATIVE)</v>
      </c>
      <c r="C130">
        <f>ACTIVIDADES!K130</f>
        <v>4</v>
      </c>
    </row>
    <row r="131" spans="1:3" x14ac:dyDescent="0.35">
      <c r="A131" t="s">
        <v>491</v>
      </c>
      <c r="B131" t="str">
        <f>_xlfn.CONCAT("[",ACTIVIDADES!A131,"] [",ACTIVIDADES!C131,"] ",ACTIVIDADES!I131," (",ACTIVIDADES!B131,")")</f>
        <v>[MOVIL] [FRONT] Seccion en pantalla principal para registrar meta de ahorro del participante (REACT NATIVE)</v>
      </c>
      <c r="C131">
        <f>ACTIVIDADES!K131</f>
        <v>4</v>
      </c>
    </row>
    <row r="132" spans="1:3" x14ac:dyDescent="0.35">
      <c r="A132" t="s">
        <v>491</v>
      </c>
      <c r="B132" t="str">
        <f>_xlfn.CONCAT("[",ACTIVIDADES!A132,"] [",ACTIVIDADES!C132,"] ",ACTIVIDADES!I132," (",ACTIVIDADES!B132,")")</f>
        <v>[MOVIL] [FRONT] Seccion en pantalla principal para presentar resumen de movimientos (REACT NATIVE)</v>
      </c>
      <c r="C132">
        <f>ACTIVIDADES!K132</f>
        <v>4</v>
      </c>
    </row>
    <row r="133" spans="1:3" x14ac:dyDescent="0.35">
      <c r="A133" t="s">
        <v>491</v>
      </c>
      <c r="B133" t="str">
        <f>_xlfn.CONCAT("[",ACTIVIDADES!A133,"] [",ACTIVIDADES!C133,"] ",ACTIVIDADES!I133," (",ACTIVIDADES!B133,")")</f>
        <v>[MOVIL] [FRONT] Pantalla para presentar DETALLE de movimientos (REACT NATIVE)</v>
      </c>
      <c r="C133">
        <f>ACTIVIDADES!K133</f>
        <v>4</v>
      </c>
    </row>
    <row r="134" spans="1:3" x14ac:dyDescent="0.35">
      <c r="A134" t="s">
        <v>491</v>
      </c>
      <c r="B134" t="str">
        <f>_xlfn.CONCAT("[",ACTIVIDADES!A134,"] [",ACTIVIDADES!C134,"] ",ACTIVIDADES!I134," (",ACTIVIDADES!B134,")")</f>
        <v>[MOVIL] [FRONT] Seccion en pantalla principal para presentar  RESUMEN de prestamos (REACT NATIVE)</v>
      </c>
      <c r="C134">
        <f>ACTIVIDADES!K134</f>
        <v>4</v>
      </c>
    </row>
    <row r="135" spans="1:3" x14ac:dyDescent="0.35">
      <c r="A135" t="s">
        <v>491</v>
      </c>
      <c r="B135" t="str">
        <f>_xlfn.CONCAT("[",ACTIVIDADES!A135,"] [",ACTIVIDADES!C135,"] ",ACTIVIDADES!I135," (",ACTIVIDADES!B135,")")</f>
        <v>[MOVIL] [FRONT] Pantalla para presentar  DETALLE de prestamos (REACT NATIVE)</v>
      </c>
      <c r="C135">
        <f>ACTIVIDADES!K135</f>
        <v>8</v>
      </c>
    </row>
    <row r="136" spans="1:3" x14ac:dyDescent="0.35">
      <c r="A136" t="s">
        <v>491</v>
      </c>
      <c r="B136" t="str">
        <f>_xlfn.CONCAT("[",ACTIVIDADES!A136,"] [",ACTIVIDADES!C136,"] ",ACTIVIDADES!I136," (",ACTIVIDADES!B136,")")</f>
        <v>[MOVIL] [FRONT] Pantalla para presentar meses disponibles de resumen de movs (REACT NATIVE)</v>
      </c>
      <c r="C136">
        <f>ACTIVIDADES!K136</f>
        <v>4</v>
      </c>
    </row>
    <row r="137" spans="1:3" x14ac:dyDescent="0.35">
      <c r="A137" t="s">
        <v>491</v>
      </c>
      <c r="B137" t="str">
        <f>_xlfn.CONCAT("[",ACTIVIDADES!A137,"] [",ACTIVIDADES!C137,"] ",ACTIVIDADES!I137," (",ACTIVIDADES!B137,")")</f>
        <v>[MOVIL] [FRONT] Opcion para ver y descargar pdf de resumen de movs base64 (REACT NATIVE)</v>
      </c>
      <c r="C137">
        <f>ACTIVIDADES!K137</f>
        <v>8</v>
      </c>
    </row>
    <row r="138" spans="1:3" x14ac:dyDescent="0.35">
      <c r="A138" t="s">
        <v>491</v>
      </c>
      <c r="B138" t="str">
        <f>_xlfn.CONCAT("[",ACTIVIDADES!A138,"] [",ACTIVIDADES!C138,"] ",ACTIVIDADES!I138," (",ACTIVIDADES!B138,")")</f>
        <v>[MOVIL] [FRONT] Pantalla para captura de prestamos, presentar apartado de prestamos pendientes (REACT NATIVE)</v>
      </c>
      <c r="C138">
        <f>ACTIVIDADES!K138</f>
        <v>8</v>
      </c>
    </row>
    <row r="139" spans="1:3" x14ac:dyDescent="0.35">
      <c r="A139" t="s">
        <v>491</v>
      </c>
      <c r="B139" t="str">
        <f>_xlfn.CONCAT("[",ACTIVIDADES!A139,"] [",ACTIVIDADES!C139,"] ",ACTIVIDADES!I139," (",ACTIVIDADES!B139,")")</f>
        <v>[MOVIL] [FRONT] Pantalla para presentar simulacion de prestamos (REACT NATIVE)</v>
      </c>
      <c r="C139">
        <f>ACTIVIDADES!K139</f>
        <v>4</v>
      </c>
    </row>
    <row r="140" spans="1:3" x14ac:dyDescent="0.35">
      <c r="A140" t="s">
        <v>491</v>
      </c>
      <c r="B140" t="str">
        <f>_xlfn.CONCAT("[",ACTIVIDADES!A140,"] [",ACTIVIDADES!C140,"] ",ACTIVIDADES!I140," (",ACTIVIDADES!B140,")")</f>
        <v>[MOVIL] [FRONT] Pantalla para presentar folio de prestamos solicitado (REACT NATIVE)</v>
      </c>
      <c r="C140">
        <f>ACTIVIDADES!K140</f>
        <v>4</v>
      </c>
    </row>
    <row r="141" spans="1:3" x14ac:dyDescent="0.35">
      <c r="A141" t="s">
        <v>491</v>
      </c>
      <c r="B141" t="str">
        <f>_xlfn.CONCAT("[",ACTIVIDADES!A141,"] [",ACTIVIDADES!C141,"] ",ACTIVIDADES!I141," (",ACTIVIDADES!B141,")")</f>
        <v>[MOVIL] [FRONT] Opcion para cancelar un prestamos solicitado (REACT NATIVE)</v>
      </c>
      <c r="C141">
        <f>ACTIVIDADES!K141</f>
        <v>4</v>
      </c>
    </row>
    <row r="142" spans="1:3" x14ac:dyDescent="0.35">
      <c r="A142" t="s">
        <v>491</v>
      </c>
      <c r="B142" t="str">
        <f>_xlfn.CONCAT("[",ACTIVIDADES!A142,"] [",ACTIVIDADES!C142,"] ",ACTIVIDADES!I142," (",ACTIVIDADES!B142,")")</f>
        <v>[MOVIL] [FRONT] Pantalla para captura de retiros, presentar apartado de retiros en revision (REACT NATIVE)</v>
      </c>
      <c r="C142">
        <f>ACTIVIDADES!K142</f>
        <v>8</v>
      </c>
    </row>
    <row r="143" spans="1:3" x14ac:dyDescent="0.35">
      <c r="A143" t="s">
        <v>491</v>
      </c>
      <c r="B143" t="str">
        <f>_xlfn.CONCAT("[",ACTIVIDADES!A143,"] [",ACTIVIDADES!C143,"] ",ACTIVIDADES!I143," (",ACTIVIDADES!B143,")")</f>
        <v>[MOVIL] [FRONT] Pantalla para presentar folio de retiro solicitado (REACT NATIVE)</v>
      </c>
      <c r="C143">
        <f>ACTIVIDADES!K143</f>
        <v>4</v>
      </c>
    </row>
    <row r="144" spans="1:3" x14ac:dyDescent="0.35">
      <c r="A144" t="s">
        <v>491</v>
      </c>
      <c r="B144" t="str">
        <f>_xlfn.CONCAT("[",ACTIVIDADES!A144,"] [",ACTIVIDADES!C144,"] ",ACTIVIDADES!I144," (",ACTIVIDADES!B144,")")</f>
        <v>[MOVIL] [FRONT] Opcion para cancelar un retiro solicitado en revision (REACT NATIVE)</v>
      </c>
      <c r="C144">
        <f>ACTIVIDADES!K144</f>
        <v>4</v>
      </c>
    </row>
    <row r="145" spans="1:3" x14ac:dyDescent="0.35">
      <c r="A145" t="s">
        <v>491</v>
      </c>
      <c r="B145" t="str">
        <f>_xlfn.CONCAT("[",ACTIVIDADES!A145,"] [",ACTIVIDADES!C145,"] ",ACTIVIDADES!I145," (",ACTIVIDADES!B145,")")</f>
        <v>[GENERAL] [PRUE] Pruebas integrales UAT (PRUE)</v>
      </c>
      <c r="C145">
        <f>ACTIVIDADES!K145</f>
        <v>80</v>
      </c>
    </row>
    <row r="146" spans="1:3" x14ac:dyDescent="0.35">
      <c r="A146" t="s">
        <v>491</v>
      </c>
      <c r="B146" t="str">
        <f>_xlfn.CONCAT("[",ACTIVIDADES!A146,"] [",ACTIVIDADES!C146,"] ",ACTIVIDADES!I146," (",ACTIVIDADES!B146,")")</f>
        <v>[GENERAL] [PRUE] [PARALELO 1] Pruebas usuarios UAT   (PRUE)</v>
      </c>
      <c r="C146">
        <f>ACTIVIDADES!K146</f>
        <v>40</v>
      </c>
    </row>
    <row r="147" spans="1:3" x14ac:dyDescent="0.35">
      <c r="A147" t="s">
        <v>491</v>
      </c>
      <c r="B147" t="str">
        <f>_xlfn.CONCAT("[",ACTIVIDADES!A147,"] [",ACTIVIDADES!C147,"] ",ACTIVIDADES!I147," (",ACTIVIDADES!B147,")")</f>
        <v>[GENERAL] [PRUE] [PARALELO 1] Pentest MOVIL UAT  (PRUE)</v>
      </c>
      <c r="C147">
        <f>ACTIVIDADES!K147</f>
        <v>0</v>
      </c>
    </row>
    <row r="148" spans="1:3" x14ac:dyDescent="0.35">
      <c r="A148" t="s">
        <v>491</v>
      </c>
      <c r="B148" t="str">
        <f>_xlfn.CONCAT("[",ACTIVIDADES!A148,"] [",ACTIVIDADES!C148,"] ",ACTIVIDADES!I148," (",ACTIVIDADES!B148,")")</f>
        <v>[GENERAL] [PRUE] [PARALELO 1] Auditoria Interna: vulnerabilidades  (PRUE)</v>
      </c>
      <c r="C148">
        <f>ACTIVIDADES!K148</f>
        <v>0</v>
      </c>
    </row>
    <row r="149" spans="1:3" x14ac:dyDescent="0.35">
      <c r="A149" t="s">
        <v>491</v>
      </c>
      <c r="B149" t="str">
        <f>_xlfn.CONCAT("[",ACTIVIDADES!A149,"] [",ACTIVIDADES!C149,"] ",ACTIVIDADES!I149," (",ACTIVIDADES!B149,")")</f>
        <v>[GENERAL] [LIB] [PARALELO 1]  Documentacion, control de cambios (LIB)</v>
      </c>
      <c r="C149">
        <f>ACTIVIDADES!K149</f>
        <v>0</v>
      </c>
    </row>
    <row r="150" spans="1:3" x14ac:dyDescent="0.35">
      <c r="A150" t="s">
        <v>491</v>
      </c>
      <c r="B150" t="str">
        <f>_xlfn.CONCAT("[",ACTIVIDADES!A150,"] [",ACTIVIDADES!C150,"] ",ACTIVIDADES!I150," (",ACTIVIDADES!B150,")")</f>
        <v>[GENERAL] [LIB] Deployment Liberacion (LIB)</v>
      </c>
      <c r="C150">
        <f>ACTIVIDADES!K150</f>
        <v>40</v>
      </c>
    </row>
    <row r="151" spans="1:3" x14ac:dyDescent="0.35">
      <c r="A151" t="s">
        <v>491</v>
      </c>
      <c r="B151" t="str">
        <f>_xlfn.CONCAT("[",ACTIVIDADES!A151,"] [",ACTIVIDADES!C151,"] ",ACTIVIDADES!I151," (",ACTIVIDADES!B151,")")</f>
        <v>[GENERAL] [LIB] Pruebas F&amp;F (LIB)</v>
      </c>
      <c r="C151">
        <f>ACTIVIDADES!K151</f>
        <v>40</v>
      </c>
    </row>
    <row r="152" spans="1:3" x14ac:dyDescent="0.35">
      <c r="A152" t="s">
        <v>491</v>
      </c>
      <c r="B152" t="str">
        <f>_xlfn.CONCAT("[",ACTIVIDADES!A152,"] [",ACTIVIDADES!C152,"] ",ACTIVIDADES!I152," (",ACTIVIDADES!B152,")")</f>
        <v>[GENERAL] [LIB] Liberacion: registro aplicación tiendas (LIB)</v>
      </c>
      <c r="C152">
        <f>ACTIVIDADES!K152</f>
        <v>16</v>
      </c>
    </row>
    <row r="153" spans="1:3" x14ac:dyDescent="0.35">
      <c r="A153" t="s">
        <v>491</v>
      </c>
      <c r="B153" t="str">
        <f>_xlfn.CONCAT("[",ACTIVIDADES!A153,"] [",ACTIVIDADES!C153,"] ",ACTIVIDADES!I153," (",ACTIVIDADES!B153,")")</f>
        <v>[GENERAL] [LIB] Liberacion: publicar tiendas, etc (LIB)</v>
      </c>
      <c r="C153">
        <f>ACTIVIDADES!K153</f>
        <v>34</v>
      </c>
    </row>
    <row r="154" spans="1:3" x14ac:dyDescent="0.35">
      <c r="A154" t="s">
        <v>491</v>
      </c>
      <c r="B154" t="str">
        <f>_xlfn.CONCAT("[",ACTIVIDADES!A154,"] [",ACTIVIDADES!C154,"] ",ACTIVIDADES!I154," (",ACTIVIDADES!B154,")")</f>
        <v>[] []  ()</v>
      </c>
      <c r="C154">
        <f>ACTIVIDADES!K154</f>
        <v>0</v>
      </c>
    </row>
    <row r="155" spans="1:3" x14ac:dyDescent="0.35">
      <c r="A155" t="s">
        <v>491</v>
      </c>
      <c r="B155" t="str">
        <f>_xlfn.CONCAT("[",ACTIVIDADES!A155,"] [",ACTIVIDADES!C155,"] ",ACTIVIDADES!I155," (",ACTIVIDADES!B155,")")</f>
        <v>[] []  ()</v>
      </c>
      <c r="C155">
        <f>ACTIVIDADES!K155</f>
        <v>0</v>
      </c>
    </row>
    <row r="156" spans="1:3" x14ac:dyDescent="0.35">
      <c r="A156" t="s">
        <v>491</v>
      </c>
      <c r="B156" t="str">
        <f>_xlfn.CONCAT("[",ACTIVIDADES!A156,"] [",ACTIVIDADES!C156,"] ",ACTIVIDADES!I156," (",ACTIVIDADES!B156,")")</f>
        <v>[] []  ()</v>
      </c>
      <c r="C156">
        <f>ACTIVIDADES!K156</f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RESUMEN_1</vt:lpstr>
      <vt:lpstr>RESUMEN_2</vt:lpstr>
      <vt:lpstr>ACTIVIDADES</vt:lpstr>
      <vt:lpstr>BD_TABLES</vt:lpstr>
      <vt:lpstr>AUTH_COGNITO</vt:lpstr>
      <vt:lpstr>PANTALLA DASHBOARD INI</vt:lpstr>
      <vt:lpstr>BITACORA_TABLE</vt:lpstr>
      <vt:lpstr>RECURSOS</vt:lpstr>
      <vt:lpstr>JIRA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Alberto Castro García</dc:creator>
  <cp:lastModifiedBy>Carlos Alberto Mesa Rivillas</cp:lastModifiedBy>
  <dcterms:created xsi:type="dcterms:W3CDTF">2025-03-14T14:34:59Z</dcterms:created>
  <dcterms:modified xsi:type="dcterms:W3CDTF">2025-06-05T16:46:59Z</dcterms:modified>
</cp:coreProperties>
</file>